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L:\Administratief medewerker Utrecht en Woerden\Documenten Db 4B\Afspraken Planning\Planning\"/>
    </mc:Choice>
  </mc:AlternateContent>
  <bookViews>
    <workbookView xWindow="0" yWindow="615" windowWidth="28800" windowHeight="17385" activeTab="4"/>
  </bookViews>
  <sheets>
    <sheet name="Verpleegkundigen" sheetId="7" r:id="rId1"/>
    <sheet name="Instructies" sheetId="16" r:id="rId2"/>
    <sheet name="Nov '25" sheetId="1" r:id="rId3"/>
    <sheet name="Dec '25" sheetId="2" r:id="rId4"/>
    <sheet name="Jan '26" sheetId="3" r:id="rId5"/>
    <sheet name="feb'26" sheetId="4" r:id="rId6"/>
    <sheet name="mrt'26" sheetId="5" r:id="rId7"/>
    <sheet name="april'26" sheetId="6" r:id="rId8"/>
    <sheet name="May '26" sheetId="8" r:id="rId9"/>
    <sheet name="Jun '26" sheetId="9" r:id="rId10"/>
    <sheet name="Jul '26" sheetId="10" r:id="rId11"/>
    <sheet name="Aug '26" sheetId="11" r:id="rId12"/>
    <sheet name="Sep '26" sheetId="12" r:id="rId13"/>
    <sheet name="Oct '26" sheetId="13" r:id="rId14"/>
    <sheet name="Nov '26" sheetId="14" r:id="rId15"/>
    <sheet name="Dec '26" sheetId="15" r:id="rId16"/>
    <sheet name="Jan '27" sheetId="17" r:id="rId17"/>
    <sheet name="feb'27 " sheetId="18" r:id="rId18"/>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3" l="1"/>
  <c r="F8" i="2" l="1"/>
  <c r="I28" i="18" l="1"/>
  <c r="F28" i="18"/>
  <c r="D28" i="18"/>
  <c r="G28" i="18" s="1"/>
  <c r="I25" i="18"/>
  <c r="F25" i="18"/>
  <c r="D25" i="18"/>
  <c r="G25" i="18" s="1"/>
  <c r="I24" i="18"/>
  <c r="F24" i="18"/>
  <c r="D24" i="18"/>
  <c r="G24" i="18" s="1"/>
  <c r="I23" i="18"/>
  <c r="F23" i="18"/>
  <c r="D23" i="18"/>
  <c r="G23" i="18" s="1"/>
  <c r="I22" i="18"/>
  <c r="F22" i="18"/>
  <c r="D22" i="18"/>
  <c r="G22" i="18" s="1"/>
  <c r="I21" i="18"/>
  <c r="F21" i="18"/>
  <c r="D21" i="18"/>
  <c r="G21" i="18" s="1"/>
  <c r="F20" i="18"/>
  <c r="I19" i="18"/>
  <c r="F19" i="18"/>
  <c r="D19" i="18"/>
  <c r="G19" i="18" s="1"/>
  <c r="I18" i="18"/>
  <c r="F18" i="18"/>
  <c r="D18" i="18"/>
  <c r="G18" i="18" s="1"/>
  <c r="I17" i="18"/>
  <c r="F17" i="18"/>
  <c r="D17" i="18"/>
  <c r="G17" i="18" s="1"/>
  <c r="I16" i="18"/>
  <c r="F16" i="18"/>
  <c r="D16" i="18"/>
  <c r="G16" i="18" s="1"/>
  <c r="I15" i="18"/>
  <c r="F15" i="18"/>
  <c r="D15" i="18"/>
  <c r="G15" i="18" s="1"/>
  <c r="F14" i="18"/>
  <c r="I13" i="18"/>
  <c r="F13" i="18"/>
  <c r="D13" i="18"/>
  <c r="G13" i="18" s="1"/>
  <c r="I12" i="18"/>
  <c r="F12" i="18"/>
  <c r="D12" i="18"/>
  <c r="G12" i="18" s="1"/>
  <c r="I11" i="18"/>
  <c r="F11" i="18"/>
  <c r="D11" i="18"/>
  <c r="G11" i="18" s="1"/>
  <c r="I10" i="18"/>
  <c r="F10" i="18"/>
  <c r="D10" i="18"/>
  <c r="G10" i="18" s="1"/>
  <c r="I9" i="18"/>
  <c r="F9" i="18"/>
  <c r="D9" i="18"/>
  <c r="G9" i="18" s="1"/>
  <c r="F8" i="18"/>
  <c r="I7" i="18"/>
  <c r="F7" i="18"/>
  <c r="D7" i="18"/>
  <c r="G7" i="18" s="1"/>
  <c r="I6" i="18"/>
  <c r="F6" i="18"/>
  <c r="D6" i="18"/>
  <c r="G6" i="18" s="1"/>
  <c r="I5" i="18"/>
  <c r="F5" i="18"/>
  <c r="D5" i="18"/>
  <c r="G5" i="18" s="1"/>
  <c r="I4" i="18"/>
  <c r="F4" i="18"/>
  <c r="D4" i="18"/>
  <c r="G4" i="18" s="1"/>
  <c r="I3" i="18"/>
  <c r="G3" i="18"/>
  <c r="F3" i="18"/>
  <c r="E3" i="18" s="1"/>
  <c r="F2" i="18"/>
  <c r="E10" i="18" l="1"/>
  <c r="E9" i="18"/>
  <c r="E13" i="18"/>
  <c r="E11" i="18"/>
  <c r="E12" i="18"/>
  <c r="E21" i="18"/>
  <c r="E22" i="18"/>
  <c r="E23" i="18"/>
  <c r="E7" i="18"/>
  <c r="E15" i="18"/>
  <c r="E17" i="18"/>
  <c r="E19" i="18"/>
  <c r="E16" i="18"/>
  <c r="E18" i="18"/>
  <c r="E25" i="18"/>
  <c r="E28" i="18"/>
  <c r="E5" i="18"/>
  <c r="E4" i="18"/>
  <c r="E6" i="18"/>
  <c r="E24" i="18"/>
  <c r="D3" i="17"/>
  <c r="I28" i="17"/>
  <c r="F28" i="17"/>
  <c r="D28" i="17"/>
  <c r="G28" i="17" s="1"/>
  <c r="I27" i="17"/>
  <c r="F27" i="17"/>
  <c r="D27" i="17"/>
  <c r="G27" i="17" s="1"/>
  <c r="I26" i="17"/>
  <c r="F26" i="17"/>
  <c r="D26" i="17"/>
  <c r="G26" i="17" s="1"/>
  <c r="I25" i="17"/>
  <c r="F25" i="17"/>
  <c r="D25" i="17"/>
  <c r="G25" i="17" s="1"/>
  <c r="I24" i="17"/>
  <c r="F24" i="17"/>
  <c r="D24" i="17"/>
  <c r="G24" i="17" s="1"/>
  <c r="F23" i="17"/>
  <c r="I22" i="17"/>
  <c r="F22" i="17"/>
  <c r="D22" i="17"/>
  <c r="G22" i="17" s="1"/>
  <c r="I21" i="17"/>
  <c r="F21" i="17"/>
  <c r="D21" i="17"/>
  <c r="G21" i="17" s="1"/>
  <c r="I20" i="17"/>
  <c r="F20" i="17"/>
  <c r="D20" i="17"/>
  <c r="G20" i="17" s="1"/>
  <c r="I19" i="17"/>
  <c r="F19" i="17"/>
  <c r="D19" i="17"/>
  <c r="G19" i="17" s="1"/>
  <c r="I18" i="17"/>
  <c r="F18" i="17"/>
  <c r="D18" i="17"/>
  <c r="G18" i="17" s="1"/>
  <c r="F17" i="17"/>
  <c r="I16" i="17"/>
  <c r="F16" i="17"/>
  <c r="D16" i="17"/>
  <c r="G16" i="17" s="1"/>
  <c r="I15" i="17"/>
  <c r="F15" i="17"/>
  <c r="D15" i="17"/>
  <c r="G15" i="17" s="1"/>
  <c r="I14" i="17"/>
  <c r="F14" i="17"/>
  <c r="D14" i="17"/>
  <c r="G14" i="17" s="1"/>
  <c r="I13" i="17"/>
  <c r="F13" i="17"/>
  <c r="D13" i="17"/>
  <c r="G13" i="17" s="1"/>
  <c r="I12" i="17"/>
  <c r="F12" i="17"/>
  <c r="D12" i="17"/>
  <c r="G12" i="17" s="1"/>
  <c r="F11" i="17"/>
  <c r="I10" i="17"/>
  <c r="F10" i="17"/>
  <c r="D10" i="17"/>
  <c r="G10" i="17" s="1"/>
  <c r="I9" i="17"/>
  <c r="F9" i="17"/>
  <c r="D9" i="17"/>
  <c r="G9" i="17" s="1"/>
  <c r="I8" i="17"/>
  <c r="F8" i="17"/>
  <c r="D8" i="17"/>
  <c r="G8" i="17" s="1"/>
  <c r="I7" i="17"/>
  <c r="F7" i="17"/>
  <c r="D7" i="17"/>
  <c r="G7" i="17" s="1"/>
  <c r="I6" i="17"/>
  <c r="F6" i="17"/>
  <c r="D6" i="17"/>
  <c r="G6" i="17" s="1"/>
  <c r="F5" i="17"/>
  <c r="I4" i="17"/>
  <c r="F4" i="17"/>
  <c r="D4" i="17"/>
  <c r="G4" i="17" s="1"/>
  <c r="I3" i="17"/>
  <c r="F3" i="17"/>
  <c r="G3" i="17"/>
  <c r="E24" i="17" l="1"/>
  <c r="E28" i="17"/>
  <c r="E14" i="17"/>
  <c r="E3" i="17"/>
  <c r="E15" i="17"/>
  <c r="E4" i="17"/>
  <c r="E12" i="17"/>
  <c r="E13" i="17"/>
  <c r="E27" i="17"/>
  <c r="E26" i="17"/>
  <c r="E16" i="17"/>
  <c r="E25" i="17"/>
  <c r="E8" i="17"/>
  <c r="E18" i="17"/>
  <c r="E20" i="17"/>
  <c r="E22" i="17"/>
  <c r="E7" i="17"/>
  <c r="E9" i="17"/>
  <c r="E21" i="17"/>
  <c r="E6" i="17"/>
  <c r="E10" i="17"/>
  <c r="E19" i="17"/>
  <c r="F8" i="4"/>
  <c r="F6" i="8"/>
  <c r="D3" i="6" l="1"/>
  <c r="F3" i="6"/>
  <c r="F4" i="6"/>
  <c r="F3" i="4"/>
  <c r="E3" i="4" s="1"/>
  <c r="F21" i="3"/>
  <c r="E21" i="3" s="1"/>
  <c r="E4" i="2"/>
  <c r="E6" i="2"/>
  <c r="E9" i="2"/>
  <c r="E12" i="2"/>
  <c r="F14" i="2"/>
  <c r="E15" i="2"/>
  <c r="E17" i="2"/>
  <c r="E19" i="2"/>
  <c r="F20" i="2"/>
  <c r="F21" i="2"/>
  <c r="E21" i="2" s="1"/>
  <c r="F22" i="2"/>
  <c r="F23" i="2"/>
  <c r="F24" i="2"/>
  <c r="F25" i="2"/>
  <c r="F26" i="2"/>
  <c r="F27" i="2"/>
  <c r="F28" i="2"/>
  <c r="F29" i="2"/>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F2" i="15"/>
  <c r="F27" i="14"/>
  <c r="F26" i="14"/>
  <c r="F25" i="14"/>
  <c r="F24" i="14"/>
  <c r="F23" i="14"/>
  <c r="F22" i="14"/>
  <c r="F21" i="14"/>
  <c r="F20" i="14"/>
  <c r="F19" i="14"/>
  <c r="F18" i="14"/>
  <c r="F17" i="14"/>
  <c r="F16" i="14"/>
  <c r="F15" i="14"/>
  <c r="F14" i="14"/>
  <c r="F13" i="14"/>
  <c r="F12" i="14"/>
  <c r="F11" i="14"/>
  <c r="F10" i="14"/>
  <c r="F9" i="14"/>
  <c r="F8" i="14"/>
  <c r="F7" i="14"/>
  <c r="F6" i="14"/>
  <c r="F5" i="14"/>
  <c r="F4" i="14"/>
  <c r="F3" i="14"/>
  <c r="F28" i="13"/>
  <c r="F27" i="13"/>
  <c r="F26" i="13"/>
  <c r="F25" i="13"/>
  <c r="F24" i="13"/>
  <c r="F23" i="13"/>
  <c r="F22" i="13"/>
  <c r="F21" i="13"/>
  <c r="F20" i="13"/>
  <c r="F19" i="13"/>
  <c r="F18" i="13"/>
  <c r="F17" i="13"/>
  <c r="F16" i="13"/>
  <c r="F15" i="13"/>
  <c r="F14" i="13"/>
  <c r="F13" i="13"/>
  <c r="F12" i="13"/>
  <c r="F11" i="13"/>
  <c r="F10" i="13"/>
  <c r="F9" i="13"/>
  <c r="F8" i="13"/>
  <c r="F7" i="13"/>
  <c r="F6" i="13"/>
  <c r="F5" i="13"/>
  <c r="F4" i="13"/>
  <c r="F3" i="13"/>
  <c r="F28" i="12"/>
  <c r="F27" i="12"/>
  <c r="F26" i="12"/>
  <c r="F25" i="12"/>
  <c r="F24" i="12"/>
  <c r="F23" i="12"/>
  <c r="F22" i="12"/>
  <c r="F21" i="12"/>
  <c r="F20" i="12"/>
  <c r="F19" i="12"/>
  <c r="F18" i="12"/>
  <c r="F17" i="12"/>
  <c r="F16" i="12"/>
  <c r="F15" i="12"/>
  <c r="F14" i="12"/>
  <c r="F13" i="12"/>
  <c r="F12" i="12"/>
  <c r="F11" i="12"/>
  <c r="E11" i="12" s="1"/>
  <c r="F10" i="12"/>
  <c r="F9" i="12"/>
  <c r="F8" i="12"/>
  <c r="F7" i="12"/>
  <c r="E7" i="12" s="1"/>
  <c r="F6" i="12"/>
  <c r="F5" i="12"/>
  <c r="F4" i="12"/>
  <c r="F3" i="12"/>
  <c r="F2" i="12"/>
  <c r="D11" i="12"/>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F2" i="10"/>
  <c r="F28" i="9"/>
  <c r="F27" i="9"/>
  <c r="F26" i="9"/>
  <c r="F25" i="9"/>
  <c r="F24" i="9"/>
  <c r="F23" i="9"/>
  <c r="F22" i="9"/>
  <c r="F21" i="9"/>
  <c r="F20" i="9"/>
  <c r="F19" i="9"/>
  <c r="F18" i="9"/>
  <c r="F17" i="9"/>
  <c r="F16" i="9"/>
  <c r="F15" i="9"/>
  <c r="F14" i="9"/>
  <c r="F13" i="9"/>
  <c r="F12" i="9"/>
  <c r="F11" i="9"/>
  <c r="F10" i="9"/>
  <c r="F9" i="9"/>
  <c r="F8" i="9"/>
  <c r="F7" i="9"/>
  <c r="F6" i="9"/>
  <c r="F5" i="9"/>
  <c r="F4" i="9"/>
  <c r="F3" i="9"/>
  <c r="F2" i="9"/>
  <c r="F27" i="8"/>
  <c r="F26" i="8"/>
  <c r="F25" i="8"/>
  <c r="F24" i="8"/>
  <c r="F23" i="8"/>
  <c r="F22" i="8"/>
  <c r="F21" i="8"/>
  <c r="F20" i="8"/>
  <c r="F19" i="8"/>
  <c r="F18" i="8"/>
  <c r="F17" i="8"/>
  <c r="F16" i="8"/>
  <c r="F15" i="8"/>
  <c r="F14" i="8"/>
  <c r="F13" i="8"/>
  <c r="F12" i="8"/>
  <c r="F11" i="8"/>
  <c r="F10" i="8"/>
  <c r="F9" i="8"/>
  <c r="F8" i="8"/>
  <c r="F7" i="8"/>
  <c r="F5" i="8"/>
  <c r="F4" i="8"/>
  <c r="F3" i="8"/>
  <c r="F2" i="8"/>
  <c r="D9" i="8"/>
  <c r="F28" i="6"/>
  <c r="F27" i="6"/>
  <c r="F26" i="6"/>
  <c r="F25" i="6"/>
  <c r="F24" i="6"/>
  <c r="F23" i="6"/>
  <c r="F22" i="6"/>
  <c r="F21" i="6"/>
  <c r="F20" i="6"/>
  <c r="F19" i="6"/>
  <c r="F18" i="6"/>
  <c r="F17" i="6"/>
  <c r="F16" i="6"/>
  <c r="F15" i="6"/>
  <c r="F14" i="6"/>
  <c r="F13" i="6"/>
  <c r="F12" i="6"/>
  <c r="F11" i="6"/>
  <c r="F10" i="6"/>
  <c r="F9" i="6"/>
  <c r="F8" i="6"/>
  <c r="F7" i="6"/>
  <c r="F6" i="6"/>
  <c r="F5" i="6"/>
  <c r="D4" i="6"/>
  <c r="E4" i="6" s="1"/>
  <c r="F28" i="5"/>
  <c r="F27" i="5"/>
  <c r="F26" i="5"/>
  <c r="F25" i="5"/>
  <c r="F24" i="5"/>
  <c r="F23" i="5"/>
  <c r="F22" i="5"/>
  <c r="F21" i="5"/>
  <c r="F20" i="5"/>
  <c r="F19" i="5"/>
  <c r="F18" i="5"/>
  <c r="F17" i="5"/>
  <c r="F16" i="5"/>
  <c r="F15" i="5"/>
  <c r="F14" i="5"/>
  <c r="F13" i="5"/>
  <c r="F12" i="5"/>
  <c r="F11" i="5"/>
  <c r="F10" i="5"/>
  <c r="F9" i="5"/>
  <c r="F8" i="5"/>
  <c r="F7" i="5"/>
  <c r="F6" i="5"/>
  <c r="F5" i="5"/>
  <c r="F4" i="5"/>
  <c r="F3" i="5"/>
  <c r="D4" i="5"/>
  <c r="F25" i="4"/>
  <c r="F24" i="4"/>
  <c r="F23" i="4"/>
  <c r="F22" i="4"/>
  <c r="F21" i="4"/>
  <c r="F20" i="4"/>
  <c r="F19" i="4"/>
  <c r="F18" i="4"/>
  <c r="F17" i="4"/>
  <c r="F16" i="4"/>
  <c r="F15" i="4"/>
  <c r="F14" i="4"/>
  <c r="F13" i="4"/>
  <c r="F12" i="4"/>
  <c r="F11" i="4"/>
  <c r="F10" i="4"/>
  <c r="F9" i="4"/>
  <c r="F7" i="4"/>
  <c r="F6" i="4"/>
  <c r="F5" i="4"/>
  <c r="F4" i="4"/>
  <c r="F2" i="4"/>
  <c r="D4" i="4"/>
  <c r="F28" i="3"/>
  <c r="E28" i="3" s="1"/>
  <c r="F27" i="3"/>
  <c r="E27" i="3" s="1"/>
  <c r="F26" i="3"/>
  <c r="E26" i="3" s="1"/>
  <c r="F25" i="3"/>
  <c r="E25" i="3" s="1"/>
  <c r="F24" i="3"/>
  <c r="E24" i="3" s="1"/>
  <c r="F23" i="3"/>
  <c r="F22" i="3"/>
  <c r="E22" i="3" s="1"/>
  <c r="F20" i="3"/>
  <c r="E20" i="3" s="1"/>
  <c r="E19" i="3"/>
  <c r="F18" i="3"/>
  <c r="E18" i="3" s="1"/>
  <c r="F17" i="3"/>
  <c r="F16" i="3"/>
  <c r="E16" i="3" s="1"/>
  <c r="F15" i="3"/>
  <c r="E15" i="3" s="1"/>
  <c r="F14" i="3"/>
  <c r="E14" i="3" s="1"/>
  <c r="F13" i="3"/>
  <c r="E13" i="3" s="1"/>
  <c r="F12" i="3"/>
  <c r="E12" i="3" s="1"/>
  <c r="F11" i="3"/>
  <c r="F10" i="3"/>
  <c r="E10" i="3" s="1"/>
  <c r="F9" i="3"/>
  <c r="E9" i="3" s="1"/>
  <c r="F8" i="3"/>
  <c r="E8" i="3" s="1"/>
  <c r="F7" i="3"/>
  <c r="E7" i="3" s="1"/>
  <c r="F6" i="3"/>
  <c r="E6" i="3" s="1"/>
  <c r="F5" i="3"/>
  <c r="F4" i="3"/>
  <c r="F3" i="3"/>
  <c r="E9" i="8" l="1"/>
  <c r="E4" i="5"/>
  <c r="E7" i="2"/>
  <c r="E4" i="4"/>
  <c r="D31" i="3"/>
  <c r="E3" i="2"/>
  <c r="E5" i="2"/>
  <c r="I29" i="15" l="1"/>
  <c r="D29" i="15"/>
  <c r="I28" i="15"/>
  <c r="D28" i="15"/>
  <c r="I28" i="13"/>
  <c r="D28" i="13"/>
  <c r="I27" i="13"/>
  <c r="D27" i="13"/>
  <c r="E27" i="13" s="1"/>
  <c r="I26" i="13"/>
  <c r="D26" i="13"/>
  <c r="I28" i="12"/>
  <c r="D28" i="12"/>
  <c r="I29" i="10"/>
  <c r="D29" i="10"/>
  <c r="I28" i="10"/>
  <c r="D28" i="10"/>
  <c r="I27" i="10"/>
  <c r="D27" i="10"/>
  <c r="I27" i="8"/>
  <c r="D27" i="8"/>
  <c r="I26" i="8"/>
  <c r="D26" i="8"/>
  <c r="I25" i="8"/>
  <c r="D25" i="8"/>
  <c r="G27" i="13" l="1"/>
  <c r="G26" i="8"/>
  <c r="E26" i="8"/>
  <c r="G27" i="10"/>
  <c r="E27" i="10"/>
  <c r="G29" i="10"/>
  <c r="E29" i="10"/>
  <c r="G26" i="13"/>
  <c r="E26" i="13"/>
  <c r="G25" i="8"/>
  <c r="E25" i="8"/>
  <c r="G28" i="15"/>
  <c r="E28" i="15"/>
  <c r="G28" i="13"/>
  <c r="E28" i="13"/>
  <c r="G29" i="15"/>
  <c r="E29" i="15"/>
  <c r="G27" i="8"/>
  <c r="E27" i="8"/>
  <c r="G28" i="10"/>
  <c r="E28" i="10"/>
  <c r="G28" i="12"/>
  <c r="E28" i="12"/>
  <c r="I27" i="15"/>
  <c r="D27" i="15"/>
  <c r="I26" i="15"/>
  <c r="D26" i="15"/>
  <c r="I24" i="15"/>
  <c r="D24" i="15"/>
  <c r="I23" i="15"/>
  <c r="D23" i="15"/>
  <c r="E23" i="15" s="1"/>
  <c r="I22" i="15"/>
  <c r="D22" i="15"/>
  <c r="I21" i="15"/>
  <c r="D21" i="15"/>
  <c r="I20" i="15"/>
  <c r="D20" i="15"/>
  <c r="I18" i="15"/>
  <c r="D18" i="15"/>
  <c r="I17" i="15"/>
  <c r="D17" i="15"/>
  <c r="I16" i="15"/>
  <c r="D16" i="15"/>
  <c r="I15" i="15"/>
  <c r="D15" i="15"/>
  <c r="I14" i="15"/>
  <c r="D14" i="15"/>
  <c r="I12" i="15"/>
  <c r="D12" i="15"/>
  <c r="I11" i="15"/>
  <c r="D11" i="15"/>
  <c r="I10" i="15"/>
  <c r="D10" i="15"/>
  <c r="I9" i="15"/>
  <c r="D9" i="15"/>
  <c r="I8" i="15"/>
  <c r="D8" i="15"/>
  <c r="I6" i="15"/>
  <c r="D6" i="15"/>
  <c r="I5" i="15"/>
  <c r="D5" i="15"/>
  <c r="I4" i="15"/>
  <c r="D4" i="15"/>
  <c r="I3" i="15"/>
  <c r="D3" i="15"/>
  <c r="I27" i="14"/>
  <c r="D27" i="14"/>
  <c r="I25" i="14"/>
  <c r="D25" i="14"/>
  <c r="I24" i="14"/>
  <c r="D24" i="14"/>
  <c r="I23" i="14"/>
  <c r="D23" i="14"/>
  <c r="I22" i="14"/>
  <c r="D22" i="14"/>
  <c r="I21" i="14"/>
  <c r="D21" i="14"/>
  <c r="I19" i="14"/>
  <c r="D19" i="14"/>
  <c r="I18" i="14"/>
  <c r="D18" i="14"/>
  <c r="I17" i="14"/>
  <c r="D17" i="14"/>
  <c r="I16" i="14"/>
  <c r="D16" i="14"/>
  <c r="I15" i="14"/>
  <c r="D15" i="14"/>
  <c r="I13" i="14"/>
  <c r="D13" i="14"/>
  <c r="I12" i="14"/>
  <c r="D12" i="14"/>
  <c r="I11" i="14"/>
  <c r="D11" i="14"/>
  <c r="I10" i="14"/>
  <c r="D10" i="14"/>
  <c r="I9" i="14"/>
  <c r="D9" i="14"/>
  <c r="I7" i="14"/>
  <c r="D7" i="14"/>
  <c r="I6" i="14"/>
  <c r="D6" i="14"/>
  <c r="I5" i="14"/>
  <c r="D5" i="14"/>
  <c r="I4" i="14"/>
  <c r="D4" i="14"/>
  <c r="I3" i="14"/>
  <c r="D3" i="14"/>
  <c r="I25" i="13"/>
  <c r="D25" i="13"/>
  <c r="I24" i="13"/>
  <c r="D24" i="13"/>
  <c r="I22" i="13"/>
  <c r="D22" i="13"/>
  <c r="I21" i="13"/>
  <c r="D21" i="13"/>
  <c r="I20" i="13"/>
  <c r="D20" i="13"/>
  <c r="I19" i="13"/>
  <c r="D19" i="13"/>
  <c r="I18" i="13"/>
  <c r="D18" i="13"/>
  <c r="I16" i="13"/>
  <c r="D16" i="13"/>
  <c r="I15" i="13"/>
  <c r="D15" i="13"/>
  <c r="I14" i="13"/>
  <c r="D14" i="13"/>
  <c r="I13" i="13"/>
  <c r="D13" i="13"/>
  <c r="I12" i="13"/>
  <c r="D12" i="13"/>
  <c r="I10" i="13"/>
  <c r="D10" i="13"/>
  <c r="I9" i="13"/>
  <c r="D9" i="13"/>
  <c r="I8" i="13"/>
  <c r="D8" i="13"/>
  <c r="I7" i="13"/>
  <c r="D7" i="13"/>
  <c r="I6" i="13"/>
  <c r="D6" i="13"/>
  <c r="I4" i="13"/>
  <c r="D4" i="13"/>
  <c r="I3" i="13"/>
  <c r="D3" i="13"/>
  <c r="I27" i="12"/>
  <c r="D27" i="12"/>
  <c r="I26" i="12"/>
  <c r="D26" i="12"/>
  <c r="I24" i="12"/>
  <c r="D24" i="12"/>
  <c r="I23" i="12"/>
  <c r="D23" i="12"/>
  <c r="I22" i="12"/>
  <c r="D22" i="12"/>
  <c r="I21" i="12"/>
  <c r="D21" i="12"/>
  <c r="I20" i="12"/>
  <c r="D20" i="12"/>
  <c r="I18" i="12"/>
  <c r="D18" i="12"/>
  <c r="I17" i="12"/>
  <c r="D17" i="12"/>
  <c r="I16" i="12"/>
  <c r="D16" i="12"/>
  <c r="I15" i="12"/>
  <c r="D15" i="12"/>
  <c r="I14" i="12"/>
  <c r="D14" i="12"/>
  <c r="I12" i="12"/>
  <c r="D12" i="12"/>
  <c r="I11" i="12"/>
  <c r="G11" i="12"/>
  <c r="I10" i="12"/>
  <c r="D10" i="12"/>
  <c r="I9" i="12"/>
  <c r="D9" i="12"/>
  <c r="I8" i="12"/>
  <c r="D8" i="12"/>
  <c r="G8" i="12" s="1"/>
  <c r="I6" i="12"/>
  <c r="D6" i="12"/>
  <c r="I5" i="12"/>
  <c r="D5" i="12"/>
  <c r="I4" i="12"/>
  <c r="D4" i="12"/>
  <c r="I3" i="12"/>
  <c r="D3" i="12"/>
  <c r="I27" i="11"/>
  <c r="D27" i="11"/>
  <c r="I25" i="11"/>
  <c r="D25" i="11"/>
  <c r="I24" i="11"/>
  <c r="D24" i="11"/>
  <c r="I23" i="11"/>
  <c r="D23" i="11"/>
  <c r="I22" i="11"/>
  <c r="D22" i="11"/>
  <c r="I21" i="11"/>
  <c r="D21" i="11"/>
  <c r="I19" i="11"/>
  <c r="D19" i="11"/>
  <c r="I18" i="11"/>
  <c r="D18" i="11"/>
  <c r="I17" i="11"/>
  <c r="D17" i="11"/>
  <c r="I16" i="11"/>
  <c r="D16" i="11"/>
  <c r="I15" i="11"/>
  <c r="D15" i="11"/>
  <c r="I13" i="11"/>
  <c r="D13" i="11"/>
  <c r="I12" i="11"/>
  <c r="D12" i="11"/>
  <c r="I11" i="11"/>
  <c r="D11" i="11"/>
  <c r="I10" i="11"/>
  <c r="D10" i="11"/>
  <c r="I9" i="11"/>
  <c r="D9" i="11"/>
  <c r="I7" i="11"/>
  <c r="D7" i="11"/>
  <c r="I6" i="11"/>
  <c r="D6" i="11"/>
  <c r="I5" i="11"/>
  <c r="D5" i="11"/>
  <c r="I4" i="11"/>
  <c r="D4" i="11"/>
  <c r="I3" i="11"/>
  <c r="D3" i="11"/>
  <c r="I26" i="10"/>
  <c r="D26" i="10"/>
  <c r="I25" i="10"/>
  <c r="D25" i="10"/>
  <c r="I23" i="10"/>
  <c r="D23" i="10"/>
  <c r="I22" i="10"/>
  <c r="D22" i="10"/>
  <c r="I21" i="10"/>
  <c r="D21" i="10"/>
  <c r="I20" i="10"/>
  <c r="D20" i="10"/>
  <c r="I19" i="10"/>
  <c r="D19" i="10"/>
  <c r="I17" i="10"/>
  <c r="D17" i="10"/>
  <c r="I16" i="10"/>
  <c r="D16" i="10"/>
  <c r="I15" i="10"/>
  <c r="D15" i="10"/>
  <c r="I14" i="10"/>
  <c r="D14" i="10"/>
  <c r="I13" i="10"/>
  <c r="D13" i="10"/>
  <c r="I11" i="10"/>
  <c r="D11" i="10"/>
  <c r="I10" i="10"/>
  <c r="D10" i="10"/>
  <c r="I9" i="10"/>
  <c r="D9" i="10"/>
  <c r="I8" i="10"/>
  <c r="D8" i="10"/>
  <c r="I7" i="10"/>
  <c r="D7" i="10"/>
  <c r="I5" i="10"/>
  <c r="D5" i="10"/>
  <c r="I4" i="10"/>
  <c r="D4" i="10"/>
  <c r="I3" i="10"/>
  <c r="D3" i="10"/>
  <c r="I28" i="9"/>
  <c r="D28" i="9"/>
  <c r="I27" i="9"/>
  <c r="D27" i="9"/>
  <c r="I25" i="9"/>
  <c r="D25" i="9"/>
  <c r="I24" i="9"/>
  <c r="D24" i="9"/>
  <c r="I23" i="9"/>
  <c r="D23" i="9"/>
  <c r="I22" i="9"/>
  <c r="D22" i="9"/>
  <c r="I21" i="9"/>
  <c r="D21" i="9"/>
  <c r="E21" i="9" s="1"/>
  <c r="I19" i="9"/>
  <c r="D19" i="9"/>
  <c r="I18" i="9"/>
  <c r="D18" i="9"/>
  <c r="I17" i="9"/>
  <c r="D17" i="9"/>
  <c r="I16" i="9"/>
  <c r="D16" i="9"/>
  <c r="I15" i="9"/>
  <c r="D15" i="9"/>
  <c r="I13" i="9"/>
  <c r="D13" i="9"/>
  <c r="I12" i="9"/>
  <c r="D12" i="9"/>
  <c r="I11" i="9"/>
  <c r="D11" i="9"/>
  <c r="I10" i="9"/>
  <c r="D10" i="9"/>
  <c r="I9" i="9"/>
  <c r="D9" i="9"/>
  <c r="I7" i="9"/>
  <c r="D7" i="9"/>
  <c r="I6" i="9"/>
  <c r="D6" i="9"/>
  <c r="I5" i="9"/>
  <c r="D5" i="9"/>
  <c r="I4" i="9"/>
  <c r="D4" i="9"/>
  <c r="I3" i="9"/>
  <c r="D3" i="9"/>
  <c r="I24" i="8"/>
  <c r="D24" i="8"/>
  <c r="I23" i="8"/>
  <c r="D23" i="8"/>
  <c r="I21" i="8"/>
  <c r="D21" i="8"/>
  <c r="I20" i="8"/>
  <c r="D20" i="8"/>
  <c r="I19" i="8"/>
  <c r="D19" i="8"/>
  <c r="I18" i="8"/>
  <c r="D18" i="8"/>
  <c r="I17" i="8"/>
  <c r="D17" i="8"/>
  <c r="I15" i="8"/>
  <c r="D15" i="8"/>
  <c r="I14" i="8"/>
  <c r="D14" i="8"/>
  <c r="I13" i="8"/>
  <c r="D13" i="8"/>
  <c r="I12" i="8"/>
  <c r="D12" i="8"/>
  <c r="I11" i="8"/>
  <c r="D11" i="8"/>
  <c r="I9" i="8"/>
  <c r="G9" i="8"/>
  <c r="I8" i="8"/>
  <c r="D8" i="8"/>
  <c r="I7" i="8"/>
  <c r="D7" i="8"/>
  <c r="I6" i="8"/>
  <c r="D6" i="8"/>
  <c r="I5" i="8"/>
  <c r="D5" i="8"/>
  <c r="I3" i="8"/>
  <c r="D3" i="8"/>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I28" i="6"/>
  <c r="D28" i="6"/>
  <c r="I27" i="6"/>
  <c r="D27" i="6"/>
  <c r="I26" i="6"/>
  <c r="D26" i="6"/>
  <c r="I25" i="6"/>
  <c r="D25" i="6"/>
  <c r="I23" i="6"/>
  <c r="D23" i="6"/>
  <c r="I22" i="6"/>
  <c r="D22" i="6"/>
  <c r="I21" i="6"/>
  <c r="D21" i="6"/>
  <c r="I20" i="6"/>
  <c r="D20" i="6"/>
  <c r="I19" i="6"/>
  <c r="D19" i="6"/>
  <c r="I17" i="6"/>
  <c r="D17" i="6"/>
  <c r="I16" i="6"/>
  <c r="D16" i="6"/>
  <c r="I15" i="6"/>
  <c r="D15" i="6"/>
  <c r="I14" i="6"/>
  <c r="D14" i="6"/>
  <c r="I13" i="6"/>
  <c r="D13" i="6"/>
  <c r="I11" i="6"/>
  <c r="D11" i="6"/>
  <c r="I10" i="6"/>
  <c r="D10" i="6"/>
  <c r="I9" i="6"/>
  <c r="D9" i="6"/>
  <c r="I8" i="6"/>
  <c r="D8" i="6"/>
  <c r="I7" i="6"/>
  <c r="D7" i="6"/>
  <c r="I5" i="6"/>
  <c r="D5" i="6"/>
  <c r="I4" i="6"/>
  <c r="G4" i="6"/>
  <c r="I3" i="6"/>
  <c r="I28" i="5"/>
  <c r="D28" i="5"/>
  <c r="I27" i="5"/>
  <c r="D27" i="5"/>
  <c r="I25" i="5"/>
  <c r="D25" i="5"/>
  <c r="I24" i="5"/>
  <c r="D24" i="5"/>
  <c r="I23" i="5"/>
  <c r="D23" i="5"/>
  <c r="I22" i="5"/>
  <c r="D22" i="5"/>
  <c r="I21" i="5"/>
  <c r="D21" i="5"/>
  <c r="I19" i="5"/>
  <c r="D19" i="5"/>
  <c r="I18" i="5"/>
  <c r="D18" i="5"/>
  <c r="I17" i="5"/>
  <c r="D17" i="5"/>
  <c r="I16" i="5"/>
  <c r="D16" i="5"/>
  <c r="I15" i="5"/>
  <c r="D15" i="5"/>
  <c r="I13" i="5"/>
  <c r="D13" i="5"/>
  <c r="I12" i="5"/>
  <c r="D12" i="5"/>
  <c r="I11" i="5"/>
  <c r="D11" i="5"/>
  <c r="I10" i="5"/>
  <c r="D10" i="5"/>
  <c r="I9" i="5"/>
  <c r="D9" i="5"/>
  <c r="I7" i="5"/>
  <c r="D7" i="5"/>
  <c r="I6" i="5"/>
  <c r="D6" i="5"/>
  <c r="I5" i="5"/>
  <c r="D5" i="5"/>
  <c r="I4" i="5"/>
  <c r="G4" i="5"/>
  <c r="I3" i="5"/>
  <c r="D3" i="5"/>
  <c r="I25" i="4"/>
  <c r="I24" i="4"/>
  <c r="I23" i="4"/>
  <c r="I22" i="4"/>
  <c r="I21" i="4"/>
  <c r="I19" i="4"/>
  <c r="I18" i="4"/>
  <c r="I17" i="4"/>
  <c r="I16" i="4"/>
  <c r="I15" i="4"/>
  <c r="I13" i="4"/>
  <c r="I12" i="4"/>
  <c r="I11" i="4"/>
  <c r="I10" i="4"/>
  <c r="I9" i="4"/>
  <c r="I7" i="4"/>
  <c r="I6" i="4"/>
  <c r="D6" i="4"/>
  <c r="I5" i="4"/>
  <c r="I4" i="4"/>
  <c r="G4" i="4"/>
  <c r="I3" i="4"/>
  <c r="G3" i="4"/>
  <c r="I28" i="3"/>
  <c r="G28" i="3"/>
  <c r="I27" i="3"/>
  <c r="G27" i="3"/>
  <c r="I26" i="3"/>
  <c r="G26" i="3"/>
  <c r="I25" i="3"/>
  <c r="G25" i="3"/>
  <c r="I24" i="3"/>
  <c r="G24" i="3"/>
  <c r="I22" i="3"/>
  <c r="G22" i="3"/>
  <c r="I21" i="3"/>
  <c r="G21" i="3"/>
  <c r="I20" i="3"/>
  <c r="G20" i="3"/>
  <c r="I19" i="3"/>
  <c r="G19" i="3"/>
  <c r="I18" i="3"/>
  <c r="G18" i="3"/>
  <c r="I16" i="3"/>
  <c r="G16" i="3"/>
  <c r="I15" i="3"/>
  <c r="G15" i="3"/>
  <c r="I14" i="3"/>
  <c r="G14" i="3"/>
  <c r="I13" i="3"/>
  <c r="G13" i="3"/>
  <c r="I12" i="3"/>
  <c r="G12" i="3"/>
  <c r="I10" i="3"/>
  <c r="G10" i="3"/>
  <c r="I9" i="3"/>
  <c r="G9" i="3"/>
  <c r="I8" i="3"/>
  <c r="G8" i="3"/>
  <c r="I7" i="3"/>
  <c r="G7" i="3"/>
  <c r="I6" i="3"/>
  <c r="G6" i="3"/>
  <c r="I4" i="3"/>
  <c r="I3" i="3"/>
  <c r="D3" i="3"/>
  <c r="G3" i="3" s="1"/>
  <c r="I29" i="2"/>
  <c r="D29" i="2"/>
  <c r="E29" i="2" s="1"/>
  <c r="I28" i="2"/>
  <c r="D28" i="2"/>
  <c r="E28" i="2" s="1"/>
  <c r="I27" i="2"/>
  <c r="D27" i="2"/>
  <c r="E27" i="2" s="1"/>
  <c r="I25" i="2"/>
  <c r="D25" i="2"/>
  <c r="G25" i="2" s="1"/>
  <c r="I24" i="2"/>
  <c r="D24" i="2"/>
  <c r="G24" i="2" s="1"/>
  <c r="I23" i="2"/>
  <c r="E23" i="2"/>
  <c r="I22" i="2"/>
  <c r="D22" i="2"/>
  <c r="E22" i="2" s="1"/>
  <c r="I21" i="2"/>
  <c r="G21" i="2"/>
  <c r="I19" i="2"/>
  <c r="G19" i="2"/>
  <c r="I18" i="2"/>
  <c r="E18" i="2"/>
  <c r="I17" i="2"/>
  <c r="G17" i="2"/>
  <c r="I16" i="2"/>
  <c r="E16" i="2"/>
  <c r="I15" i="2"/>
  <c r="G15" i="2"/>
  <c r="I13" i="2"/>
  <c r="E13" i="2"/>
  <c r="I12" i="2"/>
  <c r="G12" i="2"/>
  <c r="I11" i="2"/>
  <c r="E11" i="2"/>
  <c r="I10" i="2"/>
  <c r="E10" i="2"/>
  <c r="I9" i="2"/>
  <c r="G9" i="2"/>
  <c r="I7" i="2"/>
  <c r="G7" i="2"/>
  <c r="I6" i="2"/>
  <c r="G6" i="2"/>
  <c r="I5" i="2"/>
  <c r="G5" i="2"/>
  <c r="I4" i="2"/>
  <c r="G4" i="2"/>
  <c r="I3" i="2"/>
  <c r="G3" i="2"/>
  <c r="G25" i="1"/>
  <c r="E25" i="1"/>
  <c r="G24" i="1"/>
  <c r="D24" i="1"/>
  <c r="E24" i="1" s="1"/>
  <c r="G23" i="1"/>
  <c r="D23" i="1"/>
  <c r="E23" i="1" s="1"/>
  <c r="G22" i="1"/>
  <c r="D22" i="1"/>
  <c r="E22" i="1" s="1"/>
  <c r="G21" i="1"/>
  <c r="D21" i="1"/>
  <c r="E21" i="1" s="1"/>
  <c r="G19" i="1"/>
  <c r="D19" i="1"/>
  <c r="E19" i="1" s="1"/>
  <c r="G18" i="1"/>
  <c r="D18" i="1"/>
  <c r="E18" i="1" s="1"/>
  <c r="G17" i="1"/>
  <c r="D17" i="1"/>
  <c r="E17" i="1" s="1"/>
  <c r="G16" i="1"/>
  <c r="D16" i="1"/>
  <c r="E16" i="1" s="1"/>
  <c r="G15" i="1"/>
  <c r="D15" i="1"/>
  <c r="E15" i="1" s="1"/>
  <c r="G13" i="1"/>
  <c r="D13" i="1"/>
  <c r="E13" i="1" s="1"/>
  <c r="G12" i="1"/>
  <c r="D12" i="1"/>
  <c r="E12" i="1" s="1"/>
  <c r="G11" i="1"/>
  <c r="D11" i="1"/>
  <c r="E11" i="1" s="1"/>
  <c r="G10" i="1"/>
  <c r="D10" i="1"/>
  <c r="E10" i="1" s="1"/>
  <c r="G9" i="1"/>
  <c r="D9" i="1"/>
  <c r="E9" i="1" s="1"/>
  <c r="G7" i="1"/>
  <c r="D7" i="1"/>
  <c r="E7" i="1" s="1"/>
  <c r="G6" i="1"/>
  <c r="D6" i="1"/>
  <c r="E6" i="1" s="1"/>
  <c r="G5" i="1"/>
  <c r="D5" i="1"/>
  <c r="E5" i="1" s="1"/>
  <c r="G4" i="1"/>
  <c r="D4" i="1"/>
  <c r="E4" i="1" s="1"/>
  <c r="G3" i="1"/>
  <c r="D3" i="1"/>
  <c r="E3" i="1" s="1"/>
  <c r="G27" i="5" l="1"/>
  <c r="E27" i="5"/>
  <c r="G24" i="15"/>
  <c r="E24" i="15"/>
  <c r="G27" i="15"/>
  <c r="E27" i="15"/>
  <c r="G14" i="6"/>
  <c r="E14" i="6"/>
  <c r="G5" i="8"/>
  <c r="E5" i="8"/>
  <c r="G7" i="8"/>
  <c r="E7" i="8"/>
  <c r="G12" i="8"/>
  <c r="E12" i="8"/>
  <c r="G14" i="8"/>
  <c r="E14" i="8"/>
  <c r="G17" i="8"/>
  <c r="E17" i="8"/>
  <c r="G19" i="8"/>
  <c r="E19" i="8"/>
  <c r="G21" i="8"/>
  <c r="E21" i="8"/>
  <c r="G24" i="8"/>
  <c r="E24" i="8"/>
  <c r="G4" i="9"/>
  <c r="E4" i="9"/>
  <c r="G16" i="9"/>
  <c r="E16" i="9"/>
  <c r="G28" i="9"/>
  <c r="E28" i="9"/>
  <c r="G4" i="10"/>
  <c r="E4" i="10"/>
  <c r="G7" i="10"/>
  <c r="E7" i="10"/>
  <c r="G9" i="10"/>
  <c r="E9" i="10"/>
  <c r="G11" i="10"/>
  <c r="E11" i="10"/>
  <c r="G14" i="10"/>
  <c r="E14" i="10"/>
  <c r="G16" i="10"/>
  <c r="E16" i="10"/>
  <c r="G19" i="10"/>
  <c r="E19" i="10"/>
  <c r="G21" i="10"/>
  <c r="E21" i="10"/>
  <c r="G23" i="10"/>
  <c r="E23" i="10"/>
  <c r="G26" i="10"/>
  <c r="E26" i="10"/>
  <c r="G4" i="11"/>
  <c r="E4" i="11"/>
  <c r="G6" i="11"/>
  <c r="E6" i="11"/>
  <c r="G9" i="11"/>
  <c r="E9" i="11"/>
  <c r="G11" i="11"/>
  <c r="E11" i="11"/>
  <c r="G13" i="11"/>
  <c r="E13" i="11"/>
  <c r="G16" i="11"/>
  <c r="E16" i="11"/>
  <c r="G18" i="11"/>
  <c r="E18" i="11"/>
  <c r="G21" i="11"/>
  <c r="E21" i="11"/>
  <c r="G23" i="11"/>
  <c r="E23" i="11"/>
  <c r="G25" i="11"/>
  <c r="E25" i="11"/>
  <c r="G3" i="12"/>
  <c r="E3" i="12"/>
  <c r="G5" i="12"/>
  <c r="E5" i="12"/>
  <c r="G10" i="12"/>
  <c r="E10" i="12"/>
  <c r="G12" i="12"/>
  <c r="E12" i="12"/>
  <c r="G15" i="12"/>
  <c r="E15" i="12"/>
  <c r="G17" i="12"/>
  <c r="E17" i="12"/>
  <c r="G20" i="12"/>
  <c r="E20" i="12"/>
  <c r="G22" i="12"/>
  <c r="E22" i="12"/>
  <c r="G24" i="12"/>
  <c r="E24" i="12"/>
  <c r="G27" i="12"/>
  <c r="E27" i="12"/>
  <c r="G4" i="13"/>
  <c r="E4" i="13"/>
  <c r="G7" i="13"/>
  <c r="E7" i="13"/>
  <c r="G9" i="13"/>
  <c r="E9" i="13"/>
  <c r="G12" i="13"/>
  <c r="E12" i="13"/>
  <c r="G14" i="13"/>
  <c r="E14" i="13"/>
  <c r="G16" i="13"/>
  <c r="E16" i="13"/>
  <c r="G19" i="13"/>
  <c r="E19" i="13"/>
  <c r="G21" i="13"/>
  <c r="E21" i="13"/>
  <c r="G24" i="13"/>
  <c r="E24" i="13"/>
  <c r="G3" i="14"/>
  <c r="E3" i="14"/>
  <c r="G5" i="14"/>
  <c r="E5" i="14"/>
  <c r="G7" i="14"/>
  <c r="E7" i="14"/>
  <c r="G10" i="14"/>
  <c r="E10" i="14"/>
  <c r="G12" i="14"/>
  <c r="E12" i="14"/>
  <c r="G15" i="14"/>
  <c r="E15" i="14"/>
  <c r="G17" i="14"/>
  <c r="E17" i="14"/>
  <c r="G19" i="14"/>
  <c r="E19" i="14"/>
  <c r="G22" i="14"/>
  <c r="E22" i="14"/>
  <c r="G24" i="14"/>
  <c r="E24" i="14"/>
  <c r="G27" i="14"/>
  <c r="E27" i="14"/>
  <c r="G4" i="15"/>
  <c r="E4" i="15"/>
  <c r="G6" i="15"/>
  <c r="E6" i="15"/>
  <c r="G9" i="15"/>
  <c r="E9" i="15"/>
  <c r="G11" i="15"/>
  <c r="E11" i="15"/>
  <c r="G14" i="15"/>
  <c r="E14" i="15"/>
  <c r="G16" i="15"/>
  <c r="E16" i="15"/>
  <c r="G18" i="15"/>
  <c r="E18" i="15"/>
  <c r="G21" i="15"/>
  <c r="E21" i="15"/>
  <c r="G28" i="5"/>
  <c r="E28" i="5"/>
  <c r="G23" i="15"/>
  <c r="G26" i="15"/>
  <c r="E26" i="15"/>
  <c r="G8" i="6"/>
  <c r="E8" i="6"/>
  <c r="G20" i="6"/>
  <c r="E20" i="6"/>
  <c r="G3" i="8"/>
  <c r="E3" i="8"/>
  <c r="G6" i="8"/>
  <c r="E6" i="8"/>
  <c r="G8" i="8"/>
  <c r="E8" i="8"/>
  <c r="G11" i="8"/>
  <c r="E11" i="8"/>
  <c r="G13" i="8"/>
  <c r="E13" i="8"/>
  <c r="G15" i="8"/>
  <c r="E15" i="8"/>
  <c r="G18" i="8"/>
  <c r="E18" i="8"/>
  <c r="G20" i="8"/>
  <c r="E20" i="8"/>
  <c r="G23" i="8"/>
  <c r="E23" i="8"/>
  <c r="G10" i="9"/>
  <c r="E10" i="9"/>
  <c r="G22" i="9"/>
  <c r="E22" i="9"/>
  <c r="G3" i="10"/>
  <c r="E3" i="10"/>
  <c r="G5" i="10"/>
  <c r="E5" i="10"/>
  <c r="G8" i="10"/>
  <c r="E8" i="10"/>
  <c r="G10" i="10"/>
  <c r="E10" i="10"/>
  <c r="G13" i="10"/>
  <c r="E13" i="10"/>
  <c r="G15" i="10"/>
  <c r="E15" i="10"/>
  <c r="G17" i="10"/>
  <c r="E17" i="10"/>
  <c r="G20" i="10"/>
  <c r="E20" i="10"/>
  <c r="G22" i="10"/>
  <c r="E22" i="10"/>
  <c r="G25" i="10"/>
  <c r="E25" i="10"/>
  <c r="G3" i="11"/>
  <c r="E3" i="11"/>
  <c r="G5" i="11"/>
  <c r="E5" i="11"/>
  <c r="G7" i="11"/>
  <c r="E7" i="11"/>
  <c r="G10" i="11"/>
  <c r="E10" i="11"/>
  <c r="G12" i="11"/>
  <c r="E12" i="11"/>
  <c r="G15" i="11"/>
  <c r="E15" i="11"/>
  <c r="G17" i="11"/>
  <c r="E17" i="11"/>
  <c r="G19" i="11"/>
  <c r="E19" i="11"/>
  <c r="G22" i="11"/>
  <c r="E22" i="11"/>
  <c r="G24" i="11"/>
  <c r="E24" i="11"/>
  <c r="G27" i="11"/>
  <c r="E27" i="11"/>
  <c r="G4" i="12"/>
  <c r="E4" i="12"/>
  <c r="G6" i="12"/>
  <c r="E6" i="12"/>
  <c r="G9" i="12"/>
  <c r="E9" i="12"/>
  <c r="G14" i="12"/>
  <c r="E14" i="12"/>
  <c r="G16" i="12"/>
  <c r="E16" i="12"/>
  <c r="G18" i="12"/>
  <c r="E18" i="12"/>
  <c r="G21" i="12"/>
  <c r="E21" i="12"/>
  <c r="G23" i="12"/>
  <c r="E23" i="12"/>
  <c r="G26" i="12"/>
  <c r="E26" i="12"/>
  <c r="G3" i="13"/>
  <c r="E3" i="13"/>
  <c r="G6" i="13"/>
  <c r="E6" i="13"/>
  <c r="G8" i="13"/>
  <c r="E8" i="13"/>
  <c r="G10" i="13"/>
  <c r="E10" i="13"/>
  <c r="G13" i="13"/>
  <c r="E13" i="13"/>
  <c r="G15" i="13"/>
  <c r="E15" i="13"/>
  <c r="G18" i="13"/>
  <c r="E18" i="13"/>
  <c r="G20" i="13"/>
  <c r="E20" i="13"/>
  <c r="G22" i="13"/>
  <c r="E22" i="13"/>
  <c r="G25" i="13"/>
  <c r="E25" i="13"/>
  <c r="G4" i="14"/>
  <c r="E4" i="14"/>
  <c r="G6" i="14"/>
  <c r="E6" i="14"/>
  <c r="G9" i="14"/>
  <c r="E9" i="14"/>
  <c r="G11" i="14"/>
  <c r="E11" i="14"/>
  <c r="G13" i="14"/>
  <c r="E13" i="14"/>
  <c r="G16" i="14"/>
  <c r="E16" i="14"/>
  <c r="G18" i="14"/>
  <c r="E18" i="14"/>
  <c r="G21" i="14"/>
  <c r="E21" i="14"/>
  <c r="G23" i="14"/>
  <c r="E23" i="14"/>
  <c r="G25" i="14"/>
  <c r="E25" i="14"/>
  <c r="G3" i="15"/>
  <c r="E3" i="15"/>
  <c r="G5" i="15"/>
  <c r="E5" i="15"/>
  <c r="G8" i="15"/>
  <c r="E8" i="15"/>
  <c r="G10" i="15"/>
  <c r="E10" i="15"/>
  <c r="G12" i="15"/>
  <c r="E12" i="15"/>
  <c r="G15" i="15"/>
  <c r="E15" i="15"/>
  <c r="G17" i="15"/>
  <c r="E17" i="15"/>
  <c r="G20" i="15"/>
  <c r="E20" i="15"/>
  <c r="G22" i="15"/>
  <c r="E22" i="15"/>
  <c r="G3" i="9"/>
  <c r="E3" i="9"/>
  <c r="G5" i="9"/>
  <c r="E5" i="9"/>
  <c r="G7" i="9"/>
  <c r="E7" i="9"/>
  <c r="G12" i="9"/>
  <c r="E12" i="9"/>
  <c r="G15" i="9"/>
  <c r="E15" i="9"/>
  <c r="G17" i="9"/>
  <c r="E17" i="9"/>
  <c r="G19" i="9"/>
  <c r="E19" i="9"/>
  <c r="G24" i="9"/>
  <c r="E24" i="9"/>
  <c r="G27" i="9"/>
  <c r="E27" i="9"/>
  <c r="G6" i="9"/>
  <c r="E6" i="9"/>
  <c r="G9" i="9"/>
  <c r="E9" i="9"/>
  <c r="G11" i="9"/>
  <c r="E11" i="9"/>
  <c r="G13" i="9"/>
  <c r="E13" i="9"/>
  <c r="G18" i="9"/>
  <c r="E18" i="9"/>
  <c r="G21" i="9"/>
  <c r="G23" i="9"/>
  <c r="E23" i="9"/>
  <c r="G25" i="9"/>
  <c r="E25" i="9"/>
  <c r="G3" i="6"/>
  <c r="E3" i="6"/>
  <c r="G5" i="6"/>
  <c r="E5" i="6"/>
  <c r="G10" i="6"/>
  <c r="E10" i="6"/>
  <c r="G13" i="6"/>
  <c r="E13" i="6"/>
  <c r="G15" i="6"/>
  <c r="E15" i="6"/>
  <c r="G17" i="6"/>
  <c r="E17" i="6"/>
  <c r="G22" i="6"/>
  <c r="E22" i="6"/>
  <c r="G25" i="6"/>
  <c r="E25" i="6"/>
  <c r="G27" i="6"/>
  <c r="E27" i="6"/>
  <c r="G7" i="6"/>
  <c r="E7" i="6"/>
  <c r="G9" i="6"/>
  <c r="E9" i="6"/>
  <c r="G11" i="6"/>
  <c r="E11" i="6"/>
  <c r="G16" i="6"/>
  <c r="E16" i="6"/>
  <c r="G19" i="6"/>
  <c r="E19" i="6"/>
  <c r="G21" i="6"/>
  <c r="E21" i="6"/>
  <c r="G23" i="6"/>
  <c r="E23" i="6"/>
  <c r="G26" i="6"/>
  <c r="E26" i="6"/>
  <c r="G28" i="6"/>
  <c r="E28" i="6"/>
  <c r="G3" i="5"/>
  <c r="E3" i="5"/>
  <c r="G5" i="5"/>
  <c r="E5" i="5"/>
  <c r="G7" i="5"/>
  <c r="E7" i="5"/>
  <c r="G12" i="5"/>
  <c r="E12" i="5"/>
  <c r="G15" i="5"/>
  <c r="E15" i="5"/>
  <c r="G17" i="5"/>
  <c r="E17" i="5"/>
  <c r="G19" i="5"/>
  <c r="E19" i="5"/>
  <c r="G22" i="5"/>
  <c r="E22" i="5"/>
  <c r="G24" i="5"/>
  <c r="E24" i="5"/>
  <c r="G10" i="5"/>
  <c r="E10" i="5"/>
  <c r="G9" i="5"/>
  <c r="E9" i="5"/>
  <c r="G11" i="5"/>
  <c r="E11" i="5"/>
  <c r="G13" i="5"/>
  <c r="E13" i="5"/>
  <c r="G16" i="5"/>
  <c r="E16" i="5"/>
  <c r="G18" i="5"/>
  <c r="E18" i="5"/>
  <c r="G21" i="5"/>
  <c r="E21" i="5"/>
  <c r="G23" i="5"/>
  <c r="E23" i="5"/>
  <c r="G25" i="5"/>
  <c r="E25" i="5"/>
  <c r="G6" i="5"/>
  <c r="E6" i="5"/>
  <c r="G7" i="4"/>
  <c r="E7" i="4"/>
  <c r="G10" i="4"/>
  <c r="E10" i="4"/>
  <c r="G12" i="4"/>
  <c r="E12" i="4"/>
  <c r="G15" i="4"/>
  <c r="E15" i="4"/>
  <c r="G17" i="4"/>
  <c r="E17" i="4"/>
  <c r="G19" i="4"/>
  <c r="E19" i="4"/>
  <c r="G22" i="4"/>
  <c r="E22" i="4"/>
  <c r="G24" i="4"/>
  <c r="E24" i="4"/>
  <c r="G5" i="4"/>
  <c r="E5" i="4"/>
  <c r="G9" i="4"/>
  <c r="E9" i="4"/>
  <c r="G11" i="4"/>
  <c r="E11" i="4"/>
  <c r="G13" i="4"/>
  <c r="E13" i="4"/>
  <c r="G16" i="4"/>
  <c r="E16" i="4"/>
  <c r="G18" i="4"/>
  <c r="E18" i="4"/>
  <c r="G21" i="4"/>
  <c r="E21" i="4"/>
  <c r="G23" i="4"/>
  <c r="E23" i="4"/>
  <c r="G25" i="4"/>
  <c r="E25" i="4"/>
  <c r="G6" i="4"/>
  <c r="E6" i="4"/>
  <c r="G4" i="3"/>
  <c r="E4" i="3"/>
  <c r="G11" i="2"/>
  <c r="G23" i="2"/>
  <c r="G28" i="2"/>
  <c r="G18" i="2"/>
  <c r="G22" i="2"/>
  <c r="G29" i="2"/>
  <c r="G13" i="2"/>
  <c r="G16" i="2"/>
  <c r="G10" i="2"/>
  <c r="G27" i="2"/>
</calcChain>
</file>

<file path=xl/sharedStrings.xml><?xml version="1.0" encoding="utf-8"?>
<sst xmlns="http://schemas.openxmlformats.org/spreadsheetml/2006/main" count="820" uniqueCount="206">
  <si>
    <t>Datum</t>
  </si>
  <si>
    <t>Weekdag</t>
  </si>
  <si>
    <t>Aantal patiënten</t>
  </si>
  <si>
    <t>Max aantal patiënten</t>
  </si>
  <si>
    <t>Overschrijding</t>
  </si>
  <si>
    <t>Opmerking</t>
  </si>
  <si>
    <t>Aantal vpk</t>
  </si>
  <si>
    <t>Naam verpleegkundige</t>
  </si>
  <si>
    <t>Dagco (naam)</t>
  </si>
  <si>
    <t>Week 45</t>
  </si>
  <si>
    <t>ma</t>
  </si>
  <si>
    <t>29 ivm yvonne 8 pt</t>
  </si>
  <si>
    <t>di</t>
  </si>
  <si>
    <t>er is een flexals 4de dus 25</t>
  </si>
  <si>
    <t>wo</t>
  </si>
  <si>
    <t>1 dubbele Er is een flexer 6patienten naar 5A</t>
  </si>
  <si>
    <t>do</t>
  </si>
  <si>
    <t xml:space="preserve">en Sarina dus 24 is goed </t>
  </si>
  <si>
    <t>vr</t>
  </si>
  <si>
    <t>1 dubbele</t>
  </si>
  <si>
    <t>Week 46</t>
  </si>
  <si>
    <t>Sarina is er yvonne tot 14;00 en flex</t>
  </si>
  <si>
    <t>1 dubbele / houden op 25 max, indien geen flex dan 21</t>
  </si>
  <si>
    <t>NIET MEER BIJPLANNEN INDIEN UITVALLER</t>
  </si>
  <si>
    <t>houden op 23 max, indien geen flex dan 5A ?</t>
  </si>
  <si>
    <t>Week 47</t>
  </si>
  <si>
    <t>Sarina is er yvonne tot 14;00</t>
  </si>
  <si>
    <t>Niets meer bij plannen gaat iemand af komt misschien flexer</t>
  </si>
  <si>
    <t>2 dubbele / houden op 25 max, indien geen flex 5A</t>
  </si>
  <si>
    <t xml:space="preserve">yvonne tot 14:00 </t>
  </si>
  <si>
    <t>houden op 25 max, (collega op kantoor) niet meer bij plannen</t>
  </si>
  <si>
    <t>Week 48</t>
  </si>
  <si>
    <t>Irma 4e, Yvonne tot 14u</t>
  </si>
  <si>
    <t>Henriette vanaf 15;30 uur alleen | Yvonne tot 15,30, Merel tot 15u</t>
  </si>
  <si>
    <t xml:space="preserve">Merel overleg 14.00 /15.00 </t>
  </si>
  <si>
    <t>(Evt flex ) + 2 mag blijven staan</t>
  </si>
  <si>
    <t>Week 49</t>
  </si>
  <si>
    <t>Yvonne tot 15:30u</t>
  </si>
  <si>
    <t> 29 (4e is Irma)</t>
  </si>
  <si>
    <t xml:space="preserve"> yvonne tot 15;30 uur</t>
  </si>
  <si>
    <t>Sarina is er (mag naar 32) |  27 (Yvonne tot 14u, 4e is Irma)</t>
  </si>
  <si>
    <t>Week 50</t>
  </si>
  <si>
    <t> 21</t>
  </si>
  <si>
    <t>Week 51</t>
  </si>
  <si>
    <t> 21 (Yvonne tot 16,30)</t>
  </si>
  <si>
    <t>Week 52</t>
  </si>
  <si>
    <t>Yvonne tot 16.30</t>
  </si>
  <si>
    <t>DICHT</t>
  </si>
  <si>
    <t>Week 1</t>
  </si>
  <si>
    <t> 29</t>
  </si>
  <si>
    <t>Week 2</t>
  </si>
  <si>
    <t>Week 3</t>
  </si>
  <si>
    <t>Week 4</t>
  </si>
  <si>
    <t>Week 5</t>
  </si>
  <si>
    <t>Week 6</t>
  </si>
  <si>
    <t>Week 7</t>
  </si>
  <si>
    <t>Week 8</t>
  </si>
  <si>
    <t>Week 9</t>
  </si>
  <si>
    <t>Week 10</t>
  </si>
  <si>
    <t>Week 11</t>
  </si>
  <si>
    <t>Week 12</t>
  </si>
  <si>
    <t>Week 13</t>
  </si>
  <si>
    <t>Week 14</t>
  </si>
  <si>
    <t>Week 15</t>
  </si>
  <si>
    <t>Week 16</t>
  </si>
  <si>
    <t xml:space="preserve">BELEIDSDAG  </t>
  </si>
  <si>
    <t>Week 17</t>
  </si>
  <si>
    <t>Week 18</t>
  </si>
  <si>
    <t>Naam</t>
  </si>
  <si>
    <t>Max patiënten per dag</t>
  </si>
  <si>
    <t>naam_clean (niet aanpassen)</t>
  </si>
  <si>
    <t>Merel</t>
  </si>
  <si>
    <t>Joyce</t>
  </si>
  <si>
    <t>Suzan</t>
  </si>
  <si>
    <t>Carla</t>
  </si>
  <si>
    <t>Sanne</t>
  </si>
  <si>
    <t>Henriette</t>
  </si>
  <si>
    <t>Emmy</t>
  </si>
  <si>
    <t>Yvonne</t>
  </si>
  <si>
    <t>Irma</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</si>
  <si>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</si>
  <si>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</si>
  <si>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</si>
  <si>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</si>
  <si>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</si>
  <si>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</si>
  <si>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</si>
  <si>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</si>
  <si>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</si>
  <si>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</si>
  <si>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</si>
  <si>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</si>
  <si>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</si>
  <si>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</si>
  <si>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</si>
  <si>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</si>
  <si>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</si>
  <si>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</si>
  <si>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</si>
  <si>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</si>
  <si>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</si>
  <si>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</si>
  <si>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</si>
  <si>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</si>
  <si>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</si>
  <si>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</si>
  <si>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53</t>
  </si>
  <si>
    <t>henriette, suzan, merel, yvonne</t>
  </si>
  <si>
    <t>henriette, suzan, merel, sarina</t>
  </si>
  <si>
    <t>merel</t>
  </si>
  <si>
    <t>Sarina</t>
  </si>
  <si>
    <t>sanne</t>
  </si>
  <si>
    <t>henriette, suzan, irma, merel</t>
  </si>
  <si>
    <t>joyce, merel, yvonne</t>
  </si>
  <si>
    <t>suzan</t>
  </si>
  <si>
    <t xml:space="preserve">henriette, suzan, irma, yvonne, sarina </t>
  </si>
  <si>
    <t>carla, joyce, irma</t>
  </si>
  <si>
    <t>joyce</t>
  </si>
  <si>
    <t>henriette, joyce, irma, sarina</t>
  </si>
  <si>
    <t xml:space="preserve">henriette, suzan, irma, yvonne,  </t>
  </si>
  <si>
    <t xml:space="preserve">carla, sanne, joyce, </t>
  </si>
  <si>
    <t>henriette, carla, suzan, yvonne</t>
  </si>
  <si>
    <t>carla, irma, yvonne</t>
  </si>
  <si>
    <t>carla</t>
  </si>
  <si>
    <t>carla, joyce, irma, yvonne</t>
  </si>
  <si>
    <t>henriette, suzan, irma, merel, sarina</t>
  </si>
  <si>
    <t>joyce, irma, merel, yvonne</t>
  </si>
  <si>
    <t>carla, irma, merel, yvonne</t>
  </si>
  <si>
    <t>henriette</t>
  </si>
  <si>
    <t>sanne, joyce, irma</t>
  </si>
  <si>
    <t>carla, sarina, yvonne</t>
  </si>
  <si>
    <t> 29. 11:30-12:30 1 vpk minder</t>
  </si>
  <si>
    <t>henriette, sanne, merel, yvonne</t>
  </si>
  <si>
    <t>henriette, suzan, sarina, irma, yvonne</t>
  </si>
  <si>
    <t>henriette, suzan, sarina, merel, yvonne</t>
  </si>
  <si>
    <t>carla, emmy, joyce, irma, lisa</t>
  </si>
  <si>
    <t>Lisa</t>
  </si>
  <si>
    <t>emmy</t>
  </si>
  <si>
    <t>carla, emmy, sanne, joyce, lisa</t>
  </si>
  <si>
    <t>31 aanhouden</t>
  </si>
  <si>
    <t>31 aanhouden /  BELEIDSDAG / 4 aanprikmomenten, wel gewoon 31 pt ovv Senna</t>
  </si>
  <si>
    <t>Ailien</t>
  </si>
  <si>
    <t>irma, sanne, ailien</t>
  </si>
  <si>
    <t xml:space="preserve">formule -&gt; </t>
  </si>
  <si>
    <t>Opmerkingen Senna</t>
  </si>
  <si>
    <t>Max aantal patiënten afgesproken</t>
  </si>
  <si>
    <t xml:space="preserve">Max Capaciteit </t>
  </si>
  <si>
    <t>Max Capaciteit</t>
  </si>
  <si>
    <t xml:space="preserve">Opmerkingen Senna </t>
  </si>
  <si>
    <t> 21 (Yvonne tot 14u) (irma 3e) + flex Vera</t>
  </si>
  <si>
    <t xml:space="preserve">Let op! </t>
  </si>
  <si>
    <r>
      <rPr>
        <b/>
        <sz val="12"/>
        <color theme="1"/>
        <rFont val="Calibri"/>
        <family val="2"/>
        <scheme val="minor"/>
      </rPr>
      <t>Rollen:</t>
    </r>
    <r>
      <rPr>
        <sz val="11"/>
        <color theme="1"/>
        <rFont val="Calibri"/>
        <family val="2"/>
        <scheme val="minor"/>
      </rPr>
      <t xml:space="preserve">
Teamhoofd: Vult de verpleegkundige en dagco in, geeft bij opmerkingen senna aan wanneer ze een verandering heeft gedaan en wat voor verandering, zet het max aantal patienten afgesproken neer of zet dit in haar opmerkingen.
planners: zetten belangrijke opmerkingen en vullen het aantal patiënten in.
</t>
    </r>
    <r>
      <rPr>
        <b/>
        <sz val="12"/>
        <color theme="1"/>
        <rFont val="Calibri"/>
        <family val="2"/>
        <scheme val="minor"/>
      </rPr>
      <t>Werking van het Excel bestand:</t>
    </r>
    <r>
      <rPr>
        <sz val="11"/>
        <color theme="1"/>
        <rFont val="Calibri"/>
        <family val="2"/>
        <scheme val="minor"/>
      </rPr>
      <t xml:space="preserve">
Dit is excel bestand is bedoeld voor de planners en het teamhoofd om een inzicht te hebben in de capaciteit op de afdeling D4B. De volgende dingen zijn er in te zien:
- De bezetting van verpleegkundige per dag
- Het aantal patiënten wat ingepland kan en mag worden
- Het aantal patiënten wat ingepland is op elke dag
Aan de hand van deze gegevens word automatisch berekend en gevisualiseerd of het aantal patiënten matched aan de capaciteit op een dag, hoeveel overschrijding er is, of de maximale capaciteit hoger licht dan de afgesproken capaciteit en hoeveel capaciteit er is volgens de afspraken van aantal patiënten per verpleegkundige.
</t>
    </r>
    <r>
      <rPr>
        <b/>
        <sz val="12"/>
        <color theme="1"/>
        <rFont val="Calibri"/>
        <family val="2"/>
        <scheme val="minor"/>
      </rPr>
      <t>Hoe moet je het gebruiken:</t>
    </r>
    <r>
      <rPr>
        <sz val="11"/>
        <color theme="1"/>
        <rFont val="Calibri"/>
        <family val="2"/>
        <scheme val="minor"/>
      </rPr>
      <t xml:space="preserve">
1. Check of alle verpleegkudige staan in de tab "verpleegkundige" en of zij een waarde hebben gekregen van het aantal patiënten waarvoor zij geteld mogen worden. Als een verpleegkundige of invaller er nog niet instaan kan deze simpel worden toegevoegt door de naam erbij te zetten onder de andere namen en een waarde te geven. Vul vervolgens ook de naam in bij de kolom naam_clean ZONDER HOOFDLETTER
2. Vul de namen in van de verpleegkundige in de kolom "naam verpleegkundige" op de gewenste dag in een een tab met de juiste maand. De namen kunnen ingevoerd worden met of zonder hoofdletter. Let wel goed op het gebruik van de komma's houd het volgende lay-out aan [Naam, Naam, Naam, Naam]. Let goed op voor spelfouten en gebruik geen dubbele spatie na de komma.
3. Vul de Dagco in door de naam te typen zonder enige toevoegingen.
4. Pas handmatig het "Aantal patienten afgesproken" in wanneer gewenst is dat dit afwijkt van de automatische berekende "Max Capaciteit" (de overschreidingen en kleur bij aantal patiënten is gebasseerd op de kolom "Aantal patiënten afgesproken"
5. Vul in het aantal ingeplande patiënten onder de kolom "Aantal patiënten"
Lees hieronder hoe je extra tabs voor extra maanden kan toevoegen
</t>
    </r>
  </si>
  <si>
    <t>Bij verandering van het max aantal patiënten van een verpleegkundige eerst de formules weghalen in de dagen die al geweest zijn. 
Dit kan je doen door simpel de rijen bij (max capaciteit) en (max aantal patiënten afgesproken) te kopiëren en meteen weer te plakken.
Wanneer je ziet dat er geen formules meer staan in die cellen maar alleen de aantallen kan je hier de verandering maken in max patiënten per dag.</t>
  </si>
  <si>
    <r>
      <t>Klik met de linker muisknop op de tabblad van de maand die je wil kopiëren. 
Kies verplaatsen of kopiëren…
selecteer het tabblad wat je wil kopiëren en vink onderaan aan kopie maken.
Je zal dan de gekopiërde tabblad zien met (2) er achter. Verander Deze naam daar de gewenste naam door te dubbel klikken op het tabblad. Sleep het tabblad naar de juiste positie onderaan.
Pas de datums aan en voeg extra rijen toe wanneer nodig. Hieronder is zijn de formules te kopieren in de cel die je direct kan plakken en vervolgens zouden ze moeten werken. Het beste is om een rij toe te voegen waar je wilt en vervolgens een andere rij te kopiëren en daar te plakken. Vervolgens pas je alleen dingen aan als de datum. 
Extra aanpassingen: 
Wil je veranderen hoeveel patiënten een dagco mag hebben 2-12-2025 is het maar (1) dan kan je dit doen in de formule die in de cellen staan in de kollomen "Aantal patienten afgesproken" en "Max Capaciteit" 
Voorbeeld:
=ALS(EN($J8="";$K8="");"";SOMPRODUCT(--ISGETAL(VIND.SPEC(","&amp;Verpleegkundigen!$C$2:$C$100&amp;",";","&amp;KLEINE.LETTERS(SUBSTITUEREN(SUBSTITUEREN($J8;" ";"");TEKEN(160);""))&amp;","))*(Verpleegkundigen!$C$2:$C$100&lt;&gt;KLEINE.LETTERS(SUBSTITUEREN(SUBSTITUEREN($K8;" ";"");TEKEN(160);"")));Verpleegkundigen!$B$2:$B$100)+ALS($K8&lt;&gt;"";</t>
    </r>
    <r>
      <rPr>
        <sz val="11"/>
        <color rgb="FFFF0000"/>
        <rFont val="Calibri"/>
        <family val="2"/>
        <scheme val="minor"/>
      </rPr>
      <t>1</t>
    </r>
    <r>
      <rPr>
        <sz val="11"/>
        <color theme="1"/>
        <rFont val="Calibri"/>
        <family val="2"/>
        <scheme val="minor"/>
      </rPr>
      <t xml:space="preserve">;0))
Verander de rood gekleurde 1 naar het nieuwe aantal wat de dagco mag hebben.
</t>
    </r>
  </si>
  <si>
    <t>Merel komt extra 9-13u (=dagco) Sarina is er 9.30-14u</t>
  </si>
  <si>
    <t>henriette, irma, merel, yvonne, sanne</t>
  </si>
  <si>
    <t> 27 (Yvonne tot 16,30u, 5e is Irma) en Sarina 9.30-11.30u</t>
  </si>
  <si>
    <t>henriette, irma, merel, sanne</t>
  </si>
  <si>
    <t> 21 (4e is Irma)</t>
  </si>
  <si>
    <t xml:space="preserve">Sarina is er (mag naar 25) </t>
  </si>
  <si>
    <t>carla, joyce, irma, yvonne, sanne</t>
  </si>
  <si>
    <t>henriette, carla, joyce, irma, merel</t>
  </si>
  <si>
    <t>sanne, irma, lisa, yvonne</t>
  </si>
  <si>
    <t>carla, sanne, joyce, irma, lisa</t>
  </si>
  <si>
    <t xml:space="preserve">henriette, sanne, joyce, irma, yvonne </t>
  </si>
  <si>
    <t>henriette, carla, sanne, lisa, yvonne</t>
  </si>
  <si>
    <t>carla, sanne, irma, yvonne</t>
  </si>
  <si>
    <t xml:space="preserve"> sanne, joyce, lisa, merel</t>
  </si>
  <si>
    <t>Henriette, carla, suzan, merel, sarina</t>
  </si>
  <si>
    <t>henriette, sanne, irma, yvonne</t>
  </si>
  <si>
    <t>sanne, joyce, irma, lisa, yvonne</t>
  </si>
  <si>
    <t>lisa</t>
  </si>
  <si>
    <t>carla, emmy, sanne, joyce, irma</t>
  </si>
  <si>
    <t>henriette, emmy, merel, suzan, yvonne, joyce</t>
  </si>
  <si>
    <t>emmy, suzan, sanne, irma, lisa, yvonne</t>
  </si>
  <si>
    <t>henriette, sarina, irma, merel</t>
  </si>
  <si>
    <t>henriette, suzan, joyce, merel</t>
  </si>
  <si>
    <t>henriette, carla, merel, yvonne</t>
  </si>
  <si>
    <t>henriete, suzan, irma, lisa, yvonne</t>
  </si>
  <si>
    <t>henriette,emmy, suzan, irma</t>
  </si>
  <si>
    <t>carla, emmy, joyce, lisa</t>
  </si>
  <si>
    <t>henriette, carla, emmy, irma, merel, yvonne</t>
  </si>
  <si>
    <t>emmy, sanne, joyce, lisa, yvonne</t>
  </si>
  <si>
    <t>henriette, suzan, irma, yvonne</t>
  </si>
  <si>
    <t>emmy, sanne, joyce, irma, lisa</t>
  </si>
  <si>
    <t>Sanne is erbij gekomen tot 14:0</t>
  </si>
  <si>
    <t>Merel is er bij gekomen 09:00-13:00</t>
  </si>
  <si>
    <t> 29 (Yvonne tot 15,30u en Henriette tot 14u) HENRIETTE OM 10;15 EVEN WEG</t>
  </si>
  <si>
    <t>15dec: flex?</t>
  </si>
  <si>
    <t>hernriette, suzan, merel, yvonne</t>
  </si>
  <si>
    <t>henriette, suzan, irma, merel, yvonne</t>
  </si>
  <si>
    <t>15dec: Sarina 9.30-12u, nader afstemmen hoeveel patiënten</t>
  </si>
  <si>
    <t>31 aanhouden, Sarina 9.30-14.30u</t>
  </si>
  <si>
    <t>31 aanhouden,Sarina 9.30-14.30u</t>
  </si>
  <si>
    <t>15dec: Sarina 9.30-12,30u, nader afstemmen hoeveel patiënten</t>
  </si>
  <si>
    <t>15dec: Sarina 9.30-13u, nader afstemmen hoeveel patiënten</t>
  </si>
  <si>
    <t>15dec: Sarina 9.30-13,30u, nader afstemmen hoeveel patiënten</t>
  </si>
  <si>
    <t>15dec: Sarina 9.30-14u, nader afstemmen hoeveel patiënten</t>
  </si>
  <si>
    <t>Sarina 9.30-14.30u</t>
  </si>
  <si>
    <t>15dec: Sarina 9.30-14,30u, nader afstemmen hoeveel patiënten</t>
  </si>
  <si>
    <t>Sarina 9,30-14u (mag naar 35)</t>
  </si>
  <si>
    <t>21 aanhouden, Sarina 09:30-14:30</t>
  </si>
  <si>
    <t> 27 (Yvonne tot 15,30u, Irma 4e) IVM NO-SHOW niet vol</t>
  </si>
  <si>
    <t>merel, yvonne, joyce</t>
  </si>
  <si>
    <t>19/12 henriette eraf en joyce e4rbij van 09:00-13:00</t>
  </si>
  <si>
    <t>Yvonne tot 16.30, joyce erbij van 09:00-13:00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</si>
</sst>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amily val="2"/>
    </font>
    <font>
      <sz val="18"/>
      <color rgb="FFFF0000"/>
      <name val="Calibri"/>
      <family val="2"/>
      <scheme val="minor"/>
    </font>
    <font>
      <b/>
      <sz val="12"/>
      <color theme="1"/>
      <name val="Calibri"/>
      <family val="2"/>
      <scheme val="minor"/>
    </font>
    <font>
      <sz val="11"/>
      <color rgb="FFFF0000"/>
      <name val="Calibri"/>
      <family val="2"/>
      <scheme val="minor"/>
    </font>
  </fonts>
  <fills count="11">
    <fill>
      <patternFill patternType="none"/>
    </fill>
    <fill>
      <patternFill patternType="gray125"/>
    </fill>
    <fill>
      <patternFill patternType="solid">
        <fgColor rgb="FFF2F2F2"/>
      </patternFill>
    </fill>
    <fill>
      <patternFill patternType="solid">
        <fgColor rgb="FFDDEBF7"/>
      </patternFill>
    </fill>
    <fill>
      <patternFill patternType="solid">
        <fgColor rgb="FFF7F7F7"/>
      </patternFill>
    </fill>
    <fill>
      <patternFill patternType="solid">
        <fgColor theme="0" tint="-4.9989318521683403E-2"/>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0"/>
        <bgColor indexed="64"/>
      </patternFill>
    </fill>
    <fill>
      <patternFill patternType="solid">
        <fgColor theme="9" tint="0.59999389629810485"/>
        <bgColor indexed="64"/>
      </patternFill>
    </fill>
  </fills>
  <borders count="2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bottom style="thin">
        <color theme="0" tint="-0.249977111117893"/>
      </bottom>
      <diagonal/>
    </border>
    <border>
      <left style="thin">
        <color rgb="FFBFBFBF"/>
      </left>
      <right style="thin">
        <color theme="0" tint="-0.249977111117893"/>
      </right>
      <top style="thin">
        <color rgb="FFBFBFBF"/>
      </top>
      <bottom style="thin">
        <color rgb="FFBFBFBF"/>
      </bottom>
      <diagonal/>
    </border>
    <border>
      <left/>
      <right style="thin">
        <color theme="0" tint="-0.249977111117893"/>
      </right>
      <top/>
      <bottom/>
      <diagonal/>
    </border>
    <border>
      <left/>
      <right style="thin">
        <color theme="0" tint="-0.249977111117893"/>
      </right>
      <top style="thin">
        <color theme="0" tint="-0.249977111117893"/>
      </top>
      <bottom style="thin">
        <color theme="0" tint="-0.249977111117893"/>
      </bottom>
      <diagonal/>
    </border>
    <border>
      <left style="thin">
        <color rgb="FFBFBFBF"/>
      </left>
      <right style="thin">
        <color theme="0" tint="-0.249977111117893"/>
      </right>
      <top style="thin">
        <color theme="0" tint="-0.249977111117893"/>
      </top>
      <bottom style="thin">
        <color theme="0" tint="-0.249977111117893"/>
      </bottom>
      <diagonal/>
    </border>
    <border>
      <left style="thin">
        <color rgb="FFBFBFBF"/>
      </left>
      <right style="thin">
        <color theme="0" tint="-0.249977111117893"/>
      </right>
      <top style="thin">
        <color theme="0" tint="-0.249977111117893"/>
      </top>
      <bottom/>
      <diagonal/>
    </border>
    <border>
      <left style="thin">
        <color rgb="FFBFBFBF"/>
      </left>
      <right style="thin">
        <color theme="0" tint="-0.249977111117893"/>
      </right>
      <top/>
      <bottom/>
      <diagonal/>
    </border>
    <border>
      <left style="thin">
        <color rgb="FFBFBFBF"/>
      </left>
      <right style="thin">
        <color theme="0" tint="-0.249977111117893"/>
      </right>
      <top/>
      <bottom style="thin">
        <color theme="0" tint="-0.249977111117893"/>
      </bottom>
      <diagonal/>
    </border>
    <border>
      <left style="thin">
        <color rgb="FFBFBFBF"/>
      </left>
      <right/>
      <top style="thin">
        <color theme="0" tint="-0.249977111117893"/>
      </top>
      <bottom style="thin">
        <color theme="0" tint="-0.249977111117893"/>
      </bottom>
      <diagonal/>
    </border>
    <border>
      <left style="thin">
        <color rgb="FFBFBFBF"/>
      </left>
      <right/>
      <top/>
      <bottom/>
      <diagonal/>
    </border>
    <border>
      <left/>
      <right/>
      <top style="thin">
        <color theme="0" tint="-0.249977111117893"/>
      </top>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theme="0" tint="-0.249977111117893"/>
      </bottom>
      <diagonal/>
    </border>
    <border>
      <left style="thin">
        <color rgb="FFBFBFBF"/>
      </left>
      <right style="thin">
        <color rgb="FFBFBFBF"/>
      </right>
      <top style="thin">
        <color theme="0" tint="-0.249977111117893"/>
      </top>
      <bottom style="thin">
        <color theme="0" tint="-0.249977111117893"/>
      </bottom>
      <diagonal/>
    </border>
    <border>
      <left style="thin">
        <color rgb="FFBFBFBF"/>
      </left>
      <right/>
      <top style="thin">
        <color theme="0" tint="-0.249977111117893"/>
      </top>
      <bottom/>
      <diagonal/>
    </border>
    <border>
      <left style="thin">
        <color theme="0" tint="-0.249977111117893"/>
      </left>
      <right/>
      <top/>
      <bottom/>
      <diagonal/>
    </border>
    <border>
      <left style="thin">
        <color theme="0" tint="-0.249977111117893"/>
      </left>
      <right style="thin">
        <color rgb="FFBFBFBF"/>
      </right>
      <top style="thin">
        <color rgb="FFBFBFBF"/>
      </top>
      <bottom style="thin">
        <color rgb="FFBFBFBF"/>
      </bottom>
      <diagonal/>
    </border>
    <border>
      <left style="thin">
        <color theme="0" tint="-0.249977111117893"/>
      </left>
      <right/>
      <top style="thin">
        <color theme="0" tint="-0.249977111117893"/>
      </top>
      <bottom style="thin">
        <color theme="0" tint="-0.249977111117893"/>
      </bottom>
      <diagonal/>
    </border>
    <border>
      <left/>
      <right style="thin">
        <color rgb="FFBFBFBF"/>
      </right>
      <top style="thin">
        <color rgb="FFBFBFBF"/>
      </top>
      <bottom style="thin">
        <color theme="0" tint="-0.249977111117893"/>
      </bottom>
      <diagonal/>
    </border>
    <border>
      <left style="thin">
        <color theme="0" tint="-0.249977111117893"/>
      </left>
      <right style="thin">
        <color rgb="FFBFBFBF"/>
      </right>
      <top style="thin">
        <color theme="0" tint="-0.249977111117893"/>
      </top>
      <bottom style="thin">
        <color rgb="FFBFBFBF"/>
      </bottom>
      <diagonal/>
    </border>
  </borders>
  <cellStyleXfs count="1">
    <xf numFmtId="0" fontId="0" fillId="0" borderId="0"/>
  </cellStyleXfs>
  <cellXfs count="111">
    <xf numFmtId="0" fontId="0" fillId="0" borderId="0" xfId="0"/>
    <xf numFmtId="0" fontId="1" fillId="2" borderId="0" xfId="0" applyFont="1" applyFill="1" applyAlignment="1">
      <alignment horizontal="center"/>
    </xf>
    <xf numFmtId="0" fontId="1" fillId="2" borderId="0" xfId="0" applyFont="1" applyFill="1"/>
    <xf numFmtId="0" fontId="1" fillId="4" borderId="1" xfId="0" applyFont="1" applyFill="1" applyBorder="1" applyAlignment="1">
      <alignment horizontal="left"/>
    </xf>
    <xf numFmtId="0" fontId="0" fillId="4" borderId="1" xfId="0" applyFill="1" applyBorder="1"/>
    <xf numFmtId="0" fontId="0" fillId="3" borderId="1" xfId="0" applyFill="1" applyBorder="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14" fontId="0" fillId="4" borderId="1" xfId="0" applyNumberFormat="1" applyFill="1" applyBorder="1" applyAlignment="1">
      <alignment horizontal="center"/>
    </xf>
    <xf numFmtId="0" fontId="0" fillId="4" borderId="1" xfId="0" applyFill="1" applyBorder="1" applyAlignment="1">
      <alignment horizontal="center"/>
    </xf>
    <xf numFmtId="0" fontId="1" fillId="3" borderId="1" xfId="0" applyFont="1" applyFill="1" applyBorder="1" applyAlignment="1">
      <alignment horizontal="left"/>
    </xf>
    <xf numFmtId="0" fontId="0" fillId="5" borderId="1" xfId="0" applyFill="1" applyBorder="1" applyAlignment="1">
      <alignment horizontal="center"/>
    </xf>
    <xf numFmtId="0" fontId="0" fillId="0" borderId="1" xfId="0" applyFill="1" applyBorder="1" applyAlignment="1">
      <alignment horizontal="center"/>
    </xf>
    <xf numFmtId="0" fontId="0" fillId="4" borderId="0" xfId="0" applyFill="1" applyBorder="1" applyAlignment="1">
      <alignment horizontal="center"/>
    </xf>
    <xf numFmtId="0" fontId="0" fillId="4" borderId="2" xfId="0" applyFill="1" applyBorder="1"/>
    <xf numFmtId="0" fontId="0" fillId="0" borderId="2" xfId="0" applyBorder="1" applyAlignment="1">
      <alignment horizontal="center"/>
    </xf>
    <xf numFmtId="0" fontId="0" fillId="4" borderId="2" xfId="0" applyFill="1" applyBorder="1" applyAlignment="1">
      <alignment horizontal="center"/>
    </xf>
    <xf numFmtId="0" fontId="0" fillId="0" borderId="4" xfId="0" applyBorder="1" applyAlignment="1">
      <alignment horizontal="center"/>
    </xf>
    <xf numFmtId="0" fontId="0" fillId="4" borderId="4" xfId="0" applyFill="1" applyBorder="1" applyAlignment="1">
      <alignment horizontal="center"/>
    </xf>
    <xf numFmtId="0" fontId="0" fillId="4" borderId="3" xfId="0" applyFill="1" applyBorder="1"/>
    <xf numFmtId="0" fontId="1" fillId="2" borderId="5" xfId="0" applyFont="1" applyFill="1" applyBorder="1" applyAlignment="1">
      <alignment horizontal="center"/>
    </xf>
    <xf numFmtId="0" fontId="0" fillId="0" borderId="3" xfId="0" applyBorder="1" applyAlignment="1">
      <alignment horizontal="center"/>
    </xf>
    <xf numFmtId="0" fontId="0" fillId="4" borderId="6" xfId="0" applyFill="1" applyBorder="1" applyAlignment="1">
      <alignment horizontal="center"/>
    </xf>
    <xf numFmtId="0" fontId="0" fillId="4" borderId="6" xfId="0" applyFill="1" applyBorder="1"/>
    <xf numFmtId="0" fontId="0" fillId="4" borderId="3" xfId="0" applyFill="1" applyBorder="1" applyAlignment="1">
      <alignment horizontal="center"/>
    </xf>
    <xf numFmtId="0" fontId="0" fillId="4" borderId="8" xfId="0" applyFill="1" applyBorder="1" applyAlignment="1">
      <alignment horizontal="center"/>
    </xf>
    <xf numFmtId="0" fontId="0" fillId="4" borderId="8" xfId="0" applyFill="1" applyBorder="1"/>
    <xf numFmtId="0" fontId="0" fillId="5" borderId="0" xfId="0" applyFill="1"/>
    <xf numFmtId="0" fontId="0" fillId="5" borderId="1" xfId="0" applyFill="1" applyBorder="1"/>
    <xf numFmtId="0" fontId="0" fillId="0" borderId="1" xfId="0" applyFill="1" applyBorder="1"/>
    <xf numFmtId="0" fontId="0" fillId="0" borderId="6" xfId="0" applyFill="1" applyBorder="1" applyAlignment="1">
      <alignment horizontal="center"/>
    </xf>
    <xf numFmtId="0" fontId="0" fillId="0" borderId="8" xfId="0" applyFill="1" applyBorder="1" applyAlignment="1">
      <alignment horizontal="center"/>
    </xf>
    <xf numFmtId="0" fontId="0" fillId="6" borderId="1" xfId="0" applyFill="1" applyBorder="1" applyAlignment="1">
      <alignment horizontal="center"/>
    </xf>
    <xf numFmtId="0" fontId="0" fillId="6" borderId="1" xfId="0" applyFill="1" applyBorder="1"/>
    <xf numFmtId="0" fontId="0" fillId="6" borderId="6" xfId="0" applyFill="1" applyBorder="1" applyAlignment="1">
      <alignment horizontal="center"/>
    </xf>
    <xf numFmtId="0" fontId="0" fillId="6" borderId="8" xfId="0" applyFill="1" applyBorder="1" applyAlignment="1">
      <alignment horizontal="center"/>
    </xf>
    <xf numFmtId="0" fontId="0" fillId="4" borderId="9" xfId="0" applyFill="1" applyBorder="1"/>
    <xf numFmtId="0" fontId="0" fillId="0" borderId="5" xfId="0" applyBorder="1"/>
    <xf numFmtId="0" fontId="0" fillId="6" borderId="9" xfId="0" applyFill="1" applyBorder="1" applyAlignment="1">
      <alignment horizontal="center"/>
    </xf>
    <xf numFmtId="0" fontId="0" fillId="4" borderId="4" xfId="0" applyFill="1" applyBorder="1"/>
    <xf numFmtId="0" fontId="1" fillId="2" borderId="3" xfId="0" applyFont="1" applyFill="1" applyBorder="1" applyAlignment="1">
      <alignment horizontal="center"/>
    </xf>
    <xf numFmtId="0" fontId="0" fillId="0" borderId="0" xfId="0" applyFill="1"/>
    <xf numFmtId="14" fontId="0" fillId="0" borderId="1" xfId="0" applyNumberFormat="1" applyFill="1" applyBorder="1" applyAlignment="1">
      <alignment horizontal="center"/>
    </xf>
    <xf numFmtId="0" fontId="0" fillId="0" borderId="15" xfId="0" applyBorder="1"/>
    <xf numFmtId="0" fontId="0" fillId="5" borderId="14" xfId="0" applyFill="1" applyBorder="1"/>
    <xf numFmtId="0" fontId="0" fillId="0" borderId="0" xfId="0" applyBorder="1"/>
    <xf numFmtId="0" fontId="0" fillId="5" borderId="16" xfId="0" applyFill="1" applyBorder="1" applyAlignment="1">
      <alignment horizontal="left"/>
    </xf>
    <xf numFmtId="0" fontId="0" fillId="6" borderId="16" xfId="0" applyFill="1" applyBorder="1" applyAlignment="1">
      <alignment horizontal="left"/>
    </xf>
    <xf numFmtId="14" fontId="0" fillId="5" borderId="1" xfId="0" applyNumberFormat="1" applyFill="1" applyBorder="1" applyAlignment="1">
      <alignment horizontal="center"/>
    </xf>
    <xf numFmtId="0" fontId="0" fillId="5" borderId="6" xfId="0" applyFill="1" applyBorder="1" applyAlignment="1">
      <alignment horizontal="center"/>
    </xf>
    <xf numFmtId="0" fontId="0" fillId="5" borderId="3" xfId="0" applyFill="1" applyBorder="1" applyAlignment="1">
      <alignment horizontal="center"/>
    </xf>
    <xf numFmtId="0" fontId="0" fillId="0" borderId="14" xfId="0" applyFill="1" applyBorder="1"/>
    <xf numFmtId="0" fontId="0" fillId="0" borderId="16" xfId="0" applyFill="1" applyBorder="1" applyAlignment="1">
      <alignment horizontal="left"/>
    </xf>
    <xf numFmtId="0" fontId="0" fillId="0" borderId="3" xfId="0" applyFill="1" applyBorder="1" applyAlignment="1">
      <alignment horizontal="center"/>
    </xf>
    <xf numFmtId="0" fontId="0" fillId="0" borderId="2" xfId="0" applyFill="1" applyBorder="1" applyAlignment="1">
      <alignment horizontal="center"/>
    </xf>
    <xf numFmtId="0" fontId="0" fillId="5" borderId="8" xfId="0" applyFill="1" applyBorder="1" applyAlignment="1">
      <alignment horizontal="center"/>
    </xf>
    <xf numFmtId="0" fontId="1" fillId="5" borderId="1" xfId="0" applyFont="1" applyFill="1" applyBorder="1" applyAlignment="1">
      <alignment horizontal="left"/>
    </xf>
    <xf numFmtId="0" fontId="0" fillId="5" borderId="6" xfId="0" applyFill="1" applyBorder="1"/>
    <xf numFmtId="0" fontId="0" fillId="5" borderId="8" xfId="0" applyFill="1" applyBorder="1"/>
    <xf numFmtId="0" fontId="0" fillId="5" borderId="7" xfId="0" applyFill="1" applyBorder="1"/>
    <xf numFmtId="0" fontId="0" fillId="5" borderId="3" xfId="0" applyFill="1" applyBorder="1"/>
    <xf numFmtId="0" fontId="0" fillId="5" borderId="17" xfId="0" applyFill="1" applyBorder="1"/>
    <xf numFmtId="0" fontId="0" fillId="0" borderId="18" xfId="0" applyFill="1" applyBorder="1"/>
    <xf numFmtId="0" fontId="0" fillId="5" borderId="18" xfId="0" applyFill="1" applyBorder="1"/>
    <xf numFmtId="0" fontId="0" fillId="7" borderId="18" xfId="0" applyFill="1" applyBorder="1"/>
    <xf numFmtId="0" fontId="0" fillId="0" borderId="10" xfId="0" applyFill="1" applyBorder="1"/>
    <xf numFmtId="0" fontId="0" fillId="0" borderId="9" xfId="0" applyFill="1" applyBorder="1"/>
    <xf numFmtId="0" fontId="0" fillId="5" borderId="10" xfId="0" applyFill="1" applyBorder="1"/>
    <xf numFmtId="0" fontId="0" fillId="5" borderId="9" xfId="0" applyFill="1" applyBorder="1"/>
    <xf numFmtId="0" fontId="0" fillId="0" borderId="11" xfId="0" applyFill="1" applyBorder="1"/>
    <xf numFmtId="0" fontId="0" fillId="8" borderId="18" xfId="0" applyFill="1" applyBorder="1"/>
    <xf numFmtId="0" fontId="0" fillId="4" borderId="1" xfId="0" applyFill="1" applyBorder="1" applyAlignment="1">
      <alignment horizontal="left"/>
    </xf>
    <xf numFmtId="0" fontId="0" fillId="7" borderId="1" xfId="0" applyFill="1" applyBorder="1" applyAlignment="1">
      <alignment horizontal="left"/>
    </xf>
    <xf numFmtId="0" fontId="0" fillId="4" borderId="16" xfId="0" applyFill="1" applyBorder="1" applyAlignment="1">
      <alignment horizontal="left"/>
    </xf>
    <xf numFmtId="0" fontId="0" fillId="0" borderId="19" xfId="0" applyFill="1" applyBorder="1"/>
    <xf numFmtId="0" fontId="0" fillId="5" borderId="19" xfId="0" applyFill="1" applyBorder="1"/>
    <xf numFmtId="0" fontId="0" fillId="0" borderId="13" xfId="0" applyFill="1" applyBorder="1"/>
    <xf numFmtId="0" fontId="0" fillId="5" borderId="20" xfId="0" applyFill="1" applyBorder="1"/>
    <xf numFmtId="0" fontId="0" fillId="5" borderId="21" xfId="0" applyFill="1" applyBorder="1" applyAlignment="1">
      <alignment horizontal="left"/>
    </xf>
    <xf numFmtId="0" fontId="0" fillId="0" borderId="22" xfId="0" applyFill="1" applyBorder="1"/>
    <xf numFmtId="0" fontId="0" fillId="0" borderId="23" xfId="0" applyFill="1" applyBorder="1" applyAlignment="1">
      <alignment horizontal="left"/>
    </xf>
    <xf numFmtId="0" fontId="0" fillId="5" borderId="24" xfId="0" applyFill="1" applyBorder="1" applyAlignment="1">
      <alignment horizontal="left"/>
    </xf>
    <xf numFmtId="0" fontId="0" fillId="5" borderId="13" xfId="0" applyFill="1" applyBorder="1"/>
    <xf numFmtId="0" fontId="0" fillId="6" borderId="21" xfId="0" applyFill="1" applyBorder="1" applyAlignment="1">
      <alignment horizontal="left"/>
    </xf>
    <xf numFmtId="0" fontId="0" fillId="0" borderId="21" xfId="0" applyFill="1" applyBorder="1" applyAlignment="1">
      <alignment horizontal="left"/>
    </xf>
    <xf numFmtId="0" fontId="0" fillId="0" borderId="22" xfId="0" applyBorder="1"/>
    <xf numFmtId="0" fontId="0" fillId="4" borderId="21" xfId="0" applyFill="1" applyBorder="1"/>
    <xf numFmtId="0" fontId="0" fillId="5" borderId="5" xfId="0" applyFill="1" applyBorder="1"/>
    <xf numFmtId="0" fontId="0" fillId="8" borderId="19" xfId="0" applyFill="1" applyBorder="1"/>
    <xf numFmtId="0" fontId="0" fillId="0" borderId="1" xfId="0" applyBorder="1" applyAlignment="1">
      <alignment horizontal="left"/>
    </xf>
    <xf numFmtId="0" fontId="0" fillId="5" borderId="1" xfId="0" applyFill="1" applyBorder="1" applyAlignment="1">
      <alignment horizontal="left"/>
    </xf>
    <xf numFmtId="0" fontId="0" fillId="0" borderId="1" xfId="0" applyFill="1" applyBorder="1" applyAlignment="1">
      <alignment horizontal="left"/>
    </xf>
    <xf numFmtId="0" fontId="2" fillId="0" borderId="0" xfId="0" applyFont="1"/>
    <xf numFmtId="0" fontId="0" fillId="5" borderId="1" xfId="0" applyFill="1" applyBorder="1" applyAlignment="1">
      <alignment wrapText="1"/>
    </xf>
    <xf numFmtId="0" fontId="0" fillId="9" borderId="1" xfId="0" applyFill="1" applyBorder="1"/>
    <xf numFmtId="0" fontId="0" fillId="4" borderId="1" xfId="0" applyFill="1" applyBorder="1" applyAlignment="1">
      <alignment wrapText="1"/>
    </xf>
    <xf numFmtId="0" fontId="0" fillId="0" borderId="1" xfId="0" applyBorder="1" applyAlignment="1">
      <alignment wrapText="1"/>
    </xf>
    <xf numFmtId="0" fontId="0" fillId="3" borderId="9" xfId="0" applyFill="1" applyBorder="1" applyAlignment="1">
      <alignment wrapText="1"/>
    </xf>
    <xf numFmtId="0" fontId="0" fillId="4" borderId="9" xfId="0" applyFill="1" applyBorder="1" applyAlignment="1">
      <alignment horizontal="center" wrapText="1"/>
    </xf>
    <xf numFmtId="0" fontId="0" fillId="0" borderId="9" xfId="0" applyBorder="1" applyAlignment="1">
      <alignment horizontal="center" wrapText="1"/>
    </xf>
    <xf numFmtId="0" fontId="0" fillId="3" borderId="13" xfId="0" applyFill="1" applyBorder="1" applyAlignment="1">
      <alignment wrapText="1"/>
    </xf>
    <xf numFmtId="0" fontId="0" fillId="0" borderId="12" xfId="0" applyBorder="1" applyAlignment="1">
      <alignment horizontal="center" wrapText="1"/>
    </xf>
    <xf numFmtId="0" fontId="0" fillId="0" borderId="1" xfId="0" applyBorder="1" applyAlignment="1">
      <alignment horizontal="center" wrapText="1"/>
    </xf>
    <xf numFmtId="0" fontId="0" fillId="4" borderId="1" xfId="0" applyFill="1" applyBorder="1" applyAlignment="1">
      <alignment horizontal="center" wrapText="1"/>
    </xf>
    <xf numFmtId="0" fontId="0" fillId="10" borderId="8" xfId="0" applyFill="1" applyBorder="1" applyAlignment="1">
      <alignment horizontal="center"/>
    </xf>
    <xf numFmtId="0" fontId="0" fillId="10" borderId="12" xfId="0" applyFill="1" applyBorder="1" applyAlignment="1">
      <alignment horizontal="center" wrapText="1"/>
    </xf>
    <xf numFmtId="49" fontId="0" fillId="0" borderId="0" xfId="0" applyNumberFormat="1" applyAlignment="1">
      <alignment horizontal="left" vertical="top" wrapText="1"/>
    </xf>
    <xf numFmtId="49" fontId="0" fillId="0" borderId="0" xfId="0" applyNumberFormat="1" applyAlignment="1">
      <alignment horizontal="left" vertical="top"/>
    </xf>
    <xf numFmtId="0" fontId="0" fillId="0" borderId="0" xfId="0" applyAlignment="1">
      <alignment horizontal="left" vertical="top" wrapText="1"/>
    </xf>
    <xf numFmtId="0" fontId="0" fillId="0" borderId="0" xfId="0" applyAlignment="1">
      <alignment horizontal="left" vertical="top"/>
    </xf>
  </cellXfs>
  <cellStyles count="1">
    <cellStyle name="Standaard" xfId="0" builtinId="0"/>
  </cellStyles>
  <dxfs count="162">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00B050"/>
        </patternFill>
      </fill>
    </dxf>
    <dxf>
      <fill>
        <patternFill patternType="solid">
          <fgColor rgb="FFFFFF00"/>
        </patternFill>
      </fill>
    </dxf>
    <dxf>
      <fill>
        <patternFill patternType="solid">
          <fgColor rgb="FFFF0000"/>
        </patternFill>
      </fill>
    </dxf>
    <dxf>
      <fill>
        <patternFill>
          <bgColor rgb="FFFFC7CE"/>
        </patternFill>
      </fill>
    </dxf>
    <dxf>
      <fill>
        <patternFill>
          <bgColor rgb="FFFFEB9C"/>
        </patternFill>
      </fill>
    </dxf>
    <dxf>
      <fill>
        <patternFill>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00B050"/>
        </patternFill>
      </fill>
    </dxf>
    <dxf>
      <fill>
        <patternFill patternType="solid">
          <fgColor rgb="FFFFFF00"/>
        </patternFill>
      </fill>
    </dxf>
    <dxf>
      <fill>
        <patternFill patternType="solid">
          <fgColor rgb="FFFF0000"/>
        </patternFill>
      </fill>
    </dxf>
    <dxf>
      <fill>
        <patternFill>
          <bgColor rgb="FFFFC7CE"/>
        </patternFill>
      </fill>
    </dxf>
    <dxf>
      <fill>
        <patternFill>
          <bgColor rgb="FFFFEB9C"/>
        </patternFill>
      </fill>
    </dxf>
    <dxf>
      <fill>
        <patternFill>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00B050"/>
        </patternFill>
      </fill>
    </dxf>
    <dxf>
      <fill>
        <patternFill patternType="solid">
          <fgColor rgb="FFFFFF00"/>
        </patternFill>
      </fill>
    </dxf>
    <dxf>
      <fill>
        <patternFill patternType="solid">
          <fgColor rgb="FFFF0000"/>
        </patternFill>
      </fill>
    </dxf>
    <dxf>
      <fill>
        <patternFill>
          <bgColor rgb="FFFFC7CE"/>
        </patternFill>
      </fill>
    </dxf>
    <dxf>
      <fill>
        <patternFill>
          <bgColor rgb="FFFFEB9C"/>
        </patternFill>
      </fill>
    </dxf>
    <dxf>
      <fill>
        <patternFill>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00B050"/>
        </patternFill>
      </fill>
    </dxf>
    <dxf>
      <fill>
        <patternFill patternType="solid">
          <fgColor rgb="FFFFFF00"/>
        </patternFill>
      </fill>
    </dxf>
    <dxf>
      <fill>
        <patternFill patternType="solid">
          <fgColor rgb="FFFF0000"/>
        </patternFill>
      </fill>
    </dxf>
    <dxf>
      <fill>
        <patternFill>
          <bgColor rgb="FFFFC7CE"/>
        </patternFill>
      </fill>
    </dxf>
    <dxf>
      <fill>
        <patternFill>
          <bgColor rgb="FFFFEB9C"/>
        </patternFill>
      </fill>
    </dxf>
    <dxf>
      <fill>
        <patternFill>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00B050"/>
        </patternFill>
      </fill>
    </dxf>
    <dxf>
      <fill>
        <patternFill patternType="solid">
          <fgColor rgb="FFFFFF00"/>
        </patternFill>
      </fill>
    </dxf>
    <dxf>
      <fill>
        <patternFill patternType="solid">
          <fgColor rgb="FFFF0000"/>
        </patternFill>
      </fill>
    </dxf>
    <dxf>
      <fill>
        <patternFill>
          <bgColor rgb="FFFFC7CE"/>
        </patternFill>
      </fill>
    </dxf>
    <dxf>
      <fill>
        <patternFill>
          <bgColor rgb="FFFFEB9C"/>
        </patternFill>
      </fill>
    </dxf>
    <dxf>
      <fill>
        <patternFill>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00B050"/>
        </patternFill>
      </fill>
    </dxf>
    <dxf>
      <fill>
        <patternFill patternType="solid">
          <fgColor rgb="FFFFFF00"/>
        </patternFill>
      </fill>
    </dxf>
    <dxf>
      <fill>
        <patternFill patternType="solid">
          <fgColor rgb="FFFF0000"/>
        </patternFill>
      </fill>
    </dxf>
    <dxf>
      <fill>
        <patternFill>
          <bgColor rgb="FFFFC7CE"/>
        </patternFill>
      </fill>
    </dxf>
    <dxf>
      <fill>
        <patternFill>
          <bgColor rgb="FFFFEB9C"/>
        </patternFill>
      </fill>
    </dxf>
    <dxf>
      <fill>
        <patternFill>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00B050"/>
        </patternFill>
      </fill>
    </dxf>
    <dxf>
      <fill>
        <patternFill patternType="solid">
          <fgColor rgb="FFFFFF00"/>
        </patternFill>
      </fill>
    </dxf>
    <dxf>
      <fill>
        <patternFill patternType="solid">
          <fgColor rgb="FFFF0000"/>
        </patternFill>
      </fill>
    </dxf>
    <dxf>
      <fill>
        <patternFill>
          <bgColor rgb="FFFFC7CE"/>
        </patternFill>
      </fill>
    </dxf>
    <dxf>
      <fill>
        <patternFill>
          <bgColor rgb="FFFFEB9C"/>
        </patternFill>
      </fill>
    </dxf>
    <dxf>
      <fill>
        <patternFill>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00B050"/>
        </patternFill>
      </fill>
    </dxf>
    <dxf>
      <fill>
        <patternFill patternType="solid">
          <fgColor rgb="FFFFFF00"/>
        </patternFill>
      </fill>
    </dxf>
    <dxf>
      <fill>
        <patternFill patternType="solid">
          <fgColor rgb="FFFF0000"/>
        </patternFill>
      </fill>
    </dxf>
    <dxf>
      <fill>
        <patternFill>
          <bgColor rgb="FFFFC7CE"/>
        </patternFill>
      </fill>
    </dxf>
    <dxf>
      <fill>
        <patternFill>
          <bgColor rgb="FFFFEB9C"/>
        </patternFill>
      </fill>
    </dxf>
    <dxf>
      <fill>
        <patternFill>
          <bgColor rgb="FFC6EFCE"/>
        </patternFill>
      </fill>
    </dxf>
  </dxfs>
  <tableStyles count="0" defaultTableStyle="TableStyleMedium9"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workbookViewId="0">
      <selection activeCell="D18" sqref="D18"/>
    </sheetView>
  </sheetViews>
  <sheetFormatPr defaultColWidth="8.85546875" defaultRowHeight="15" x14ac:dyDescent="0.25"/>
  <cols>
    <col min="2" max="2" width="23.7109375" customWidth="1"/>
    <col min="8" max="8" width="14.28515625" customWidth="1"/>
  </cols>
  <sheetData>
    <row r="1" spans="1:14" ht="23.25" x14ac:dyDescent="0.35">
      <c r="A1" s="2" t="s">
        <v>68</v>
      </c>
      <c r="B1" s="2" t="s">
        <v>69</v>
      </c>
      <c r="C1" s="2" t="s">
        <v>70</v>
      </c>
      <c r="H1" s="93" t="s">
        <v>150</v>
      </c>
    </row>
    <row r="2" spans="1:14" x14ac:dyDescent="0.25">
      <c r="A2" t="s">
        <v>71</v>
      </c>
      <c r="B2">
        <v>10</v>
      </c>
      <c r="C2" t="str">
        <f t="shared" ref="C2:C33" si="0">IF(A2="","",LOWER(SUBSTITUTE(SUBSTITUTE(A2," ",""),CHAR(160),"")))</f>
        <v>merel</v>
      </c>
      <c r="H2" s="107" t="s">
        <v>152</v>
      </c>
      <c r="I2" s="108"/>
      <c r="J2" s="108"/>
      <c r="K2" s="108"/>
      <c r="L2" s="108"/>
      <c r="M2" s="108"/>
      <c r="N2" s="108"/>
    </row>
    <row r="3" spans="1:14" x14ac:dyDescent="0.25">
      <c r="A3" t="s">
        <v>72</v>
      </c>
      <c r="B3">
        <v>10</v>
      </c>
      <c r="C3" t="str">
        <f t="shared" si="0"/>
        <v>joyce</v>
      </c>
      <c r="H3" s="108"/>
      <c r="I3" s="108"/>
      <c r="J3" s="108"/>
      <c r="K3" s="108"/>
      <c r="L3" s="108"/>
      <c r="M3" s="108"/>
      <c r="N3" s="108"/>
    </row>
    <row r="4" spans="1:14" x14ac:dyDescent="0.25">
      <c r="A4" t="s">
        <v>73</v>
      </c>
      <c r="B4">
        <v>10</v>
      </c>
      <c r="C4" t="str">
        <f t="shared" si="0"/>
        <v>suzan</v>
      </c>
      <c r="H4" s="108"/>
      <c r="I4" s="108"/>
      <c r="J4" s="108"/>
      <c r="K4" s="108"/>
      <c r="L4" s="108"/>
      <c r="M4" s="108"/>
      <c r="N4" s="108"/>
    </row>
    <row r="5" spans="1:14" x14ac:dyDescent="0.25">
      <c r="A5" t="s">
        <v>74</v>
      </c>
      <c r="B5">
        <v>10</v>
      </c>
      <c r="C5" t="str">
        <f t="shared" si="0"/>
        <v>carla</v>
      </c>
      <c r="H5" s="108"/>
      <c r="I5" s="108"/>
      <c r="J5" s="108"/>
      <c r="K5" s="108"/>
      <c r="L5" s="108"/>
      <c r="M5" s="108"/>
      <c r="N5" s="108"/>
    </row>
    <row r="6" spans="1:14" x14ac:dyDescent="0.25">
      <c r="A6" t="s">
        <v>75</v>
      </c>
      <c r="B6">
        <v>10</v>
      </c>
      <c r="C6" t="str">
        <f t="shared" si="0"/>
        <v>sanne</v>
      </c>
      <c r="H6" s="108"/>
      <c r="I6" s="108"/>
      <c r="J6" s="108"/>
      <c r="K6" s="108"/>
      <c r="L6" s="108"/>
      <c r="M6" s="108"/>
      <c r="N6" s="108"/>
    </row>
    <row r="7" spans="1:14" x14ac:dyDescent="0.25">
      <c r="A7" t="s">
        <v>76</v>
      </c>
      <c r="B7">
        <v>10</v>
      </c>
      <c r="C7" t="str">
        <f t="shared" si="0"/>
        <v>henriette</v>
      </c>
      <c r="H7" s="108"/>
      <c r="I7" s="108"/>
      <c r="J7" s="108"/>
      <c r="K7" s="108"/>
      <c r="L7" s="108"/>
      <c r="M7" s="108"/>
      <c r="N7" s="108"/>
    </row>
    <row r="8" spans="1:14" x14ac:dyDescent="0.25">
      <c r="A8" t="s">
        <v>77</v>
      </c>
      <c r="B8">
        <v>10</v>
      </c>
      <c r="C8" t="str">
        <f t="shared" si="0"/>
        <v>emmy</v>
      </c>
      <c r="H8" s="108"/>
      <c r="I8" s="108"/>
      <c r="J8" s="108"/>
      <c r="K8" s="108"/>
      <c r="L8" s="108"/>
      <c r="M8" s="108"/>
      <c r="N8" s="108"/>
    </row>
    <row r="9" spans="1:14" x14ac:dyDescent="0.25">
      <c r="A9" t="s">
        <v>78</v>
      </c>
      <c r="B9">
        <v>10</v>
      </c>
      <c r="C9" t="str">
        <f t="shared" si="0"/>
        <v>yvonne</v>
      </c>
      <c r="H9" s="108"/>
      <c r="I9" s="108"/>
      <c r="J9" s="108"/>
      <c r="K9" s="108"/>
      <c r="L9" s="108"/>
      <c r="M9" s="108"/>
      <c r="N9" s="108"/>
    </row>
    <row r="10" spans="1:14" x14ac:dyDescent="0.25">
      <c r="A10" t="s">
        <v>110</v>
      </c>
      <c r="B10">
        <v>5</v>
      </c>
      <c r="C10" t="str">
        <f t="shared" si="0"/>
        <v>sarina</v>
      </c>
      <c r="H10" s="108"/>
      <c r="I10" s="108"/>
      <c r="J10" s="108"/>
      <c r="K10" s="108"/>
      <c r="L10" s="108"/>
      <c r="M10" s="108"/>
      <c r="N10" s="108"/>
    </row>
    <row r="11" spans="1:14" x14ac:dyDescent="0.25">
      <c r="A11" t="s">
        <v>79</v>
      </c>
      <c r="B11">
        <v>10</v>
      </c>
      <c r="C11" t="str">
        <f t="shared" si="0"/>
        <v>irma</v>
      </c>
    </row>
    <row r="12" spans="1:14" x14ac:dyDescent="0.25">
      <c r="A12" t="s">
        <v>136</v>
      </c>
      <c r="B12">
        <v>6</v>
      </c>
      <c r="C12" t="str">
        <f t="shared" si="0"/>
        <v>lisa</v>
      </c>
    </row>
    <row r="13" spans="1:14" x14ac:dyDescent="0.25">
      <c r="A13" t="s">
        <v>141</v>
      </c>
      <c r="B13">
        <v>3</v>
      </c>
      <c r="C13" t="str">
        <f t="shared" si="0"/>
        <v>ailien</v>
      </c>
    </row>
    <row r="14" spans="1:14" x14ac:dyDescent="0.25">
      <c r="C14" t="str">
        <f t="shared" si="0"/>
        <v/>
      </c>
    </row>
    <row r="15" spans="1:14" x14ac:dyDescent="0.25">
      <c r="C15" t="str">
        <f t="shared" si="0"/>
        <v/>
      </c>
    </row>
    <row r="16" spans="1:14" x14ac:dyDescent="0.25">
      <c r="C16" t="str">
        <f t="shared" si="0"/>
        <v/>
      </c>
    </row>
    <row r="17" spans="3:3" x14ac:dyDescent="0.25">
      <c r="C17" t="str">
        <f t="shared" si="0"/>
        <v/>
      </c>
    </row>
    <row r="18" spans="3:3" x14ac:dyDescent="0.25">
      <c r="C18" t="str">
        <f t="shared" si="0"/>
        <v/>
      </c>
    </row>
    <row r="19" spans="3:3" x14ac:dyDescent="0.25">
      <c r="C19" t="str">
        <f t="shared" si="0"/>
        <v/>
      </c>
    </row>
    <row r="20" spans="3:3" x14ac:dyDescent="0.25">
      <c r="C20" t="str">
        <f t="shared" si="0"/>
        <v/>
      </c>
    </row>
    <row r="21" spans="3:3" x14ac:dyDescent="0.25">
      <c r="C21" t="str">
        <f t="shared" si="0"/>
        <v/>
      </c>
    </row>
    <row r="22" spans="3:3" x14ac:dyDescent="0.25">
      <c r="C22" t="str">
        <f t="shared" si="0"/>
        <v/>
      </c>
    </row>
    <row r="23" spans="3:3" x14ac:dyDescent="0.25">
      <c r="C23" t="str">
        <f t="shared" si="0"/>
        <v/>
      </c>
    </row>
    <row r="24" spans="3:3" x14ac:dyDescent="0.25">
      <c r="C24" t="str">
        <f t="shared" si="0"/>
        <v/>
      </c>
    </row>
    <row r="25" spans="3:3" x14ac:dyDescent="0.25">
      <c r="C25" t="str">
        <f t="shared" si="0"/>
        <v/>
      </c>
    </row>
    <row r="26" spans="3:3" x14ac:dyDescent="0.25">
      <c r="C26" t="str">
        <f t="shared" si="0"/>
        <v/>
      </c>
    </row>
    <row r="27" spans="3:3" x14ac:dyDescent="0.25">
      <c r="C27" t="str">
        <f t="shared" si="0"/>
        <v/>
      </c>
    </row>
    <row r="28" spans="3:3" x14ac:dyDescent="0.25">
      <c r="C28" t="str">
        <f t="shared" si="0"/>
        <v/>
      </c>
    </row>
    <row r="29" spans="3:3" x14ac:dyDescent="0.25">
      <c r="C29" t="str">
        <f t="shared" si="0"/>
        <v/>
      </c>
    </row>
    <row r="30" spans="3:3" x14ac:dyDescent="0.25">
      <c r="C30" t="str">
        <f t="shared" si="0"/>
        <v/>
      </c>
    </row>
    <row r="31" spans="3:3" x14ac:dyDescent="0.25">
      <c r="C31" t="str">
        <f t="shared" si="0"/>
        <v/>
      </c>
    </row>
    <row r="32" spans="3:3" x14ac:dyDescent="0.25">
      <c r="C32" t="str">
        <f t="shared" si="0"/>
        <v/>
      </c>
    </row>
    <row r="33" spans="3:3" x14ac:dyDescent="0.25">
      <c r="C33" t="str">
        <f t="shared" si="0"/>
        <v/>
      </c>
    </row>
    <row r="34" spans="3:3" x14ac:dyDescent="0.25">
      <c r="C34" t="str">
        <f t="shared" ref="C34:C65" si="1">IF(A34="","",LOWER(SUBSTITUTE(SUBSTITUTE(A34," ",""),CHAR(160),"")))</f>
        <v/>
      </c>
    </row>
    <row r="35" spans="3:3" x14ac:dyDescent="0.25">
      <c r="C35" t="str">
        <f t="shared" si="1"/>
        <v/>
      </c>
    </row>
    <row r="36" spans="3:3" x14ac:dyDescent="0.25">
      <c r="C36" t="str">
        <f t="shared" si="1"/>
        <v/>
      </c>
    </row>
    <row r="37" spans="3:3" x14ac:dyDescent="0.25">
      <c r="C37" t="str">
        <f t="shared" si="1"/>
        <v/>
      </c>
    </row>
    <row r="38" spans="3:3" x14ac:dyDescent="0.25">
      <c r="C38" t="str">
        <f t="shared" si="1"/>
        <v/>
      </c>
    </row>
    <row r="39" spans="3:3" x14ac:dyDescent="0.25">
      <c r="C39" t="str">
        <f t="shared" si="1"/>
        <v/>
      </c>
    </row>
    <row r="40" spans="3:3" x14ac:dyDescent="0.25">
      <c r="C40" t="str">
        <f t="shared" si="1"/>
        <v/>
      </c>
    </row>
    <row r="41" spans="3:3" x14ac:dyDescent="0.25">
      <c r="C41" t="str">
        <f t="shared" si="1"/>
        <v/>
      </c>
    </row>
    <row r="42" spans="3:3" x14ac:dyDescent="0.25">
      <c r="C42" t="str">
        <f t="shared" si="1"/>
        <v/>
      </c>
    </row>
    <row r="43" spans="3:3" x14ac:dyDescent="0.25">
      <c r="C43" t="str">
        <f t="shared" si="1"/>
        <v/>
      </c>
    </row>
    <row r="44" spans="3:3" x14ac:dyDescent="0.25">
      <c r="C44" t="str">
        <f t="shared" si="1"/>
        <v/>
      </c>
    </row>
    <row r="45" spans="3:3" x14ac:dyDescent="0.25">
      <c r="C45" t="str">
        <f t="shared" si="1"/>
        <v/>
      </c>
    </row>
    <row r="46" spans="3:3" x14ac:dyDescent="0.25">
      <c r="C46" t="str">
        <f t="shared" si="1"/>
        <v/>
      </c>
    </row>
    <row r="47" spans="3:3" x14ac:dyDescent="0.25">
      <c r="C47" t="str">
        <f t="shared" si="1"/>
        <v/>
      </c>
    </row>
    <row r="48" spans="3:3" x14ac:dyDescent="0.25">
      <c r="C48" t="str">
        <f t="shared" si="1"/>
        <v/>
      </c>
    </row>
    <row r="49" spans="3:3" x14ac:dyDescent="0.25">
      <c r="C49" t="str">
        <f t="shared" si="1"/>
        <v/>
      </c>
    </row>
    <row r="50" spans="3:3" x14ac:dyDescent="0.25">
      <c r="C50" t="str">
        <f t="shared" si="1"/>
        <v/>
      </c>
    </row>
    <row r="51" spans="3:3" x14ac:dyDescent="0.25">
      <c r="C51" t="str">
        <f t="shared" si="1"/>
        <v/>
      </c>
    </row>
    <row r="52" spans="3:3" x14ac:dyDescent="0.25">
      <c r="C52" t="str">
        <f t="shared" si="1"/>
        <v/>
      </c>
    </row>
    <row r="53" spans="3:3" x14ac:dyDescent="0.25">
      <c r="C53" t="str">
        <f t="shared" si="1"/>
        <v/>
      </c>
    </row>
    <row r="54" spans="3:3" x14ac:dyDescent="0.25">
      <c r="C54" t="str">
        <f t="shared" si="1"/>
        <v/>
      </c>
    </row>
    <row r="55" spans="3:3" x14ac:dyDescent="0.25">
      <c r="C55" t="str">
        <f t="shared" si="1"/>
        <v/>
      </c>
    </row>
    <row r="56" spans="3:3" x14ac:dyDescent="0.25">
      <c r="C56" t="str">
        <f t="shared" si="1"/>
        <v/>
      </c>
    </row>
    <row r="57" spans="3:3" x14ac:dyDescent="0.25">
      <c r="C57" t="str">
        <f t="shared" si="1"/>
        <v/>
      </c>
    </row>
    <row r="58" spans="3:3" x14ac:dyDescent="0.25">
      <c r="C58" t="str">
        <f t="shared" si="1"/>
        <v/>
      </c>
    </row>
    <row r="59" spans="3:3" x14ac:dyDescent="0.25">
      <c r="C59" t="str">
        <f t="shared" si="1"/>
        <v/>
      </c>
    </row>
    <row r="60" spans="3:3" x14ac:dyDescent="0.25">
      <c r="C60" t="str">
        <f t="shared" si="1"/>
        <v/>
      </c>
    </row>
    <row r="61" spans="3:3" x14ac:dyDescent="0.25">
      <c r="C61" t="str">
        <f t="shared" si="1"/>
        <v/>
      </c>
    </row>
    <row r="62" spans="3:3" x14ac:dyDescent="0.25">
      <c r="C62" t="str">
        <f t="shared" si="1"/>
        <v/>
      </c>
    </row>
    <row r="63" spans="3:3" x14ac:dyDescent="0.25">
      <c r="C63" t="str">
        <f t="shared" si="1"/>
        <v/>
      </c>
    </row>
    <row r="64" spans="3:3" x14ac:dyDescent="0.25">
      <c r="C64" t="str">
        <f t="shared" si="1"/>
        <v/>
      </c>
    </row>
    <row r="65" spans="3:3" x14ac:dyDescent="0.25">
      <c r="C65" t="str">
        <f t="shared" si="1"/>
        <v/>
      </c>
    </row>
    <row r="66" spans="3:3" x14ac:dyDescent="0.25">
      <c r="C66" t="str">
        <f t="shared" ref="C66:C101" si="2">IF(A66="","",LOWER(SUBSTITUTE(SUBSTITUTE(A66," ",""),CHAR(160),"")))</f>
        <v/>
      </c>
    </row>
    <row r="67" spans="3:3" x14ac:dyDescent="0.25">
      <c r="C67" t="str">
        <f t="shared" si="2"/>
        <v/>
      </c>
    </row>
    <row r="68" spans="3:3" x14ac:dyDescent="0.25">
      <c r="C68" t="str">
        <f t="shared" si="2"/>
        <v/>
      </c>
    </row>
    <row r="69" spans="3:3" x14ac:dyDescent="0.25">
      <c r="C69" t="str">
        <f t="shared" si="2"/>
        <v/>
      </c>
    </row>
    <row r="70" spans="3:3" x14ac:dyDescent="0.25">
      <c r="C70" t="str">
        <f t="shared" si="2"/>
        <v/>
      </c>
    </row>
    <row r="71" spans="3:3" x14ac:dyDescent="0.25">
      <c r="C71" t="str">
        <f t="shared" si="2"/>
        <v/>
      </c>
    </row>
    <row r="72" spans="3:3" x14ac:dyDescent="0.25">
      <c r="C72" t="str">
        <f t="shared" si="2"/>
        <v/>
      </c>
    </row>
    <row r="73" spans="3:3" x14ac:dyDescent="0.25">
      <c r="C73" t="str">
        <f t="shared" si="2"/>
        <v/>
      </c>
    </row>
    <row r="74" spans="3:3" x14ac:dyDescent="0.25">
      <c r="C74" t="str">
        <f t="shared" si="2"/>
        <v/>
      </c>
    </row>
    <row r="75" spans="3:3" x14ac:dyDescent="0.25">
      <c r="C75" t="str">
        <f t="shared" si="2"/>
        <v/>
      </c>
    </row>
    <row r="76" spans="3:3" x14ac:dyDescent="0.25">
      <c r="C76" t="str">
        <f t="shared" si="2"/>
        <v/>
      </c>
    </row>
    <row r="77" spans="3:3" x14ac:dyDescent="0.25">
      <c r="C77" t="str">
        <f t="shared" si="2"/>
        <v/>
      </c>
    </row>
    <row r="78" spans="3:3" x14ac:dyDescent="0.25">
      <c r="C78" t="str">
        <f t="shared" si="2"/>
        <v/>
      </c>
    </row>
    <row r="79" spans="3:3" x14ac:dyDescent="0.25">
      <c r="C79" t="str">
        <f t="shared" si="2"/>
        <v/>
      </c>
    </row>
    <row r="80" spans="3:3" x14ac:dyDescent="0.25">
      <c r="C80" t="str">
        <f t="shared" si="2"/>
        <v/>
      </c>
    </row>
    <row r="81" spans="3:3" x14ac:dyDescent="0.25">
      <c r="C81" t="str">
        <f t="shared" si="2"/>
        <v/>
      </c>
    </row>
    <row r="82" spans="3:3" x14ac:dyDescent="0.25">
      <c r="C82" t="str">
        <f t="shared" si="2"/>
        <v/>
      </c>
    </row>
    <row r="83" spans="3:3" x14ac:dyDescent="0.25">
      <c r="C83" t="str">
        <f t="shared" si="2"/>
        <v/>
      </c>
    </row>
    <row r="84" spans="3:3" x14ac:dyDescent="0.25">
      <c r="C84" t="str">
        <f t="shared" si="2"/>
        <v/>
      </c>
    </row>
    <row r="85" spans="3:3" x14ac:dyDescent="0.25">
      <c r="C85" t="str">
        <f t="shared" si="2"/>
        <v/>
      </c>
    </row>
    <row r="86" spans="3:3" x14ac:dyDescent="0.25">
      <c r="C86" t="str">
        <f t="shared" si="2"/>
        <v/>
      </c>
    </row>
    <row r="87" spans="3:3" x14ac:dyDescent="0.25">
      <c r="C87" t="str">
        <f t="shared" si="2"/>
        <v/>
      </c>
    </row>
    <row r="88" spans="3:3" x14ac:dyDescent="0.25">
      <c r="C88" t="str">
        <f t="shared" si="2"/>
        <v/>
      </c>
    </row>
    <row r="89" spans="3:3" x14ac:dyDescent="0.25">
      <c r="C89" t="str">
        <f t="shared" si="2"/>
        <v/>
      </c>
    </row>
    <row r="90" spans="3:3" x14ac:dyDescent="0.25">
      <c r="C90" t="str">
        <f t="shared" si="2"/>
        <v/>
      </c>
    </row>
    <row r="91" spans="3:3" x14ac:dyDescent="0.25">
      <c r="C91" t="str">
        <f t="shared" si="2"/>
        <v/>
      </c>
    </row>
    <row r="92" spans="3:3" x14ac:dyDescent="0.25">
      <c r="C92" t="str">
        <f t="shared" si="2"/>
        <v/>
      </c>
    </row>
    <row r="93" spans="3:3" x14ac:dyDescent="0.25">
      <c r="C93" t="str">
        <f t="shared" si="2"/>
        <v/>
      </c>
    </row>
    <row r="94" spans="3:3" x14ac:dyDescent="0.25">
      <c r="C94" t="str">
        <f t="shared" si="2"/>
        <v/>
      </c>
    </row>
    <row r="95" spans="3:3" x14ac:dyDescent="0.25">
      <c r="C95" t="str">
        <f t="shared" si="2"/>
        <v/>
      </c>
    </row>
    <row r="96" spans="3:3" x14ac:dyDescent="0.25">
      <c r="C96" t="str">
        <f t="shared" si="2"/>
        <v/>
      </c>
    </row>
    <row r="97" spans="3:3" x14ac:dyDescent="0.25">
      <c r="C97" t="str">
        <f t="shared" si="2"/>
        <v/>
      </c>
    </row>
    <row r="98" spans="3:3" x14ac:dyDescent="0.25">
      <c r="C98" t="str">
        <f t="shared" si="2"/>
        <v/>
      </c>
    </row>
    <row r="99" spans="3:3" x14ac:dyDescent="0.25">
      <c r="C99" t="str">
        <f t="shared" si="2"/>
        <v/>
      </c>
    </row>
    <row r="100" spans="3:3" x14ac:dyDescent="0.25">
      <c r="C100" t="str">
        <f t="shared" si="2"/>
        <v/>
      </c>
    </row>
    <row r="101" spans="3:3" x14ac:dyDescent="0.25">
      <c r="C101" t="str">
        <f t="shared" si="2"/>
        <v/>
      </c>
    </row>
  </sheetData>
  <mergeCells count="1">
    <mergeCell ref="H2:N10"/>
  </mergeCells>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7"/>
  <sheetViews>
    <sheetView topLeftCell="A55" workbookViewId="0">
      <selection activeCell="A40" sqref="A40:R67"/>
    </sheetView>
  </sheetViews>
  <sheetFormatPr defaultRowHeight="15" x14ac:dyDescent="0.25"/>
  <sheetData>
    <row r="1" spans="1:21" x14ac:dyDescent="0.25">
      <c r="A1" s="109" t="s">
        <v>151</v>
      </c>
      <c r="B1" s="110"/>
      <c r="C1" s="110"/>
      <c r="D1" s="110"/>
      <c r="E1" s="110"/>
      <c r="F1" s="110"/>
      <c r="G1" s="110"/>
      <c r="H1" s="110"/>
      <c r="I1" s="110"/>
      <c r="J1" s="110"/>
      <c r="K1" s="110"/>
      <c r="L1" s="110"/>
      <c r="M1" s="110"/>
      <c r="N1" s="110"/>
      <c r="O1" s="110"/>
      <c r="P1" s="110"/>
      <c r="Q1" s="110"/>
      <c r="R1" s="110"/>
      <c r="S1" s="110"/>
      <c r="T1" s="110"/>
      <c r="U1" s="110"/>
    </row>
    <row r="2" spans="1:21" x14ac:dyDescent="0.25">
      <c r="A2" s="110"/>
      <c r="B2" s="110"/>
      <c r="C2" s="110"/>
      <c r="D2" s="110"/>
      <c r="E2" s="110"/>
      <c r="F2" s="110"/>
      <c r="G2" s="110"/>
      <c r="H2" s="110"/>
      <c r="I2" s="110"/>
      <c r="J2" s="110"/>
      <c r="K2" s="110"/>
      <c r="L2" s="110"/>
      <c r="M2" s="110"/>
      <c r="N2" s="110"/>
      <c r="O2" s="110"/>
      <c r="P2" s="110"/>
      <c r="Q2" s="110"/>
      <c r="R2" s="110"/>
      <c r="S2" s="110"/>
      <c r="T2" s="110"/>
      <c r="U2" s="110"/>
    </row>
    <row r="3" spans="1:21" x14ac:dyDescent="0.25">
      <c r="A3" s="110"/>
      <c r="B3" s="110"/>
      <c r="C3" s="110"/>
      <c r="D3" s="110"/>
      <c r="E3" s="110"/>
      <c r="F3" s="110"/>
      <c r="G3" s="110"/>
      <c r="H3" s="110"/>
      <c r="I3" s="110"/>
      <c r="J3" s="110"/>
      <c r="K3" s="110"/>
      <c r="L3" s="110"/>
      <c r="M3" s="110"/>
      <c r="N3" s="110"/>
      <c r="O3" s="110"/>
      <c r="P3" s="110"/>
      <c r="Q3" s="110"/>
      <c r="R3" s="110"/>
      <c r="S3" s="110"/>
      <c r="T3" s="110"/>
      <c r="U3" s="110"/>
    </row>
    <row r="4" spans="1:21" x14ac:dyDescent="0.25">
      <c r="A4" s="110"/>
      <c r="B4" s="110"/>
      <c r="C4" s="110"/>
      <c r="D4" s="110"/>
      <c r="E4" s="110"/>
      <c r="F4" s="110"/>
      <c r="G4" s="110"/>
      <c r="H4" s="110"/>
      <c r="I4" s="110"/>
      <c r="J4" s="110"/>
      <c r="K4" s="110"/>
      <c r="L4" s="110"/>
      <c r="M4" s="110"/>
      <c r="N4" s="110"/>
      <c r="O4" s="110"/>
      <c r="P4" s="110"/>
      <c r="Q4" s="110"/>
      <c r="R4" s="110"/>
      <c r="S4" s="110"/>
      <c r="T4" s="110"/>
      <c r="U4" s="110"/>
    </row>
    <row r="5" spans="1:21" x14ac:dyDescent="0.25">
      <c r="A5" s="110"/>
      <c r="B5" s="110"/>
      <c r="C5" s="110"/>
      <c r="D5" s="110"/>
      <c r="E5" s="110"/>
      <c r="F5" s="110"/>
      <c r="G5" s="110"/>
      <c r="H5" s="110"/>
      <c r="I5" s="110"/>
      <c r="J5" s="110"/>
      <c r="K5" s="110"/>
      <c r="L5" s="110"/>
      <c r="M5" s="110"/>
      <c r="N5" s="110"/>
      <c r="O5" s="110"/>
      <c r="P5" s="110"/>
      <c r="Q5" s="110"/>
      <c r="R5" s="110"/>
      <c r="S5" s="110"/>
      <c r="T5" s="110"/>
      <c r="U5" s="110"/>
    </row>
    <row r="6" spans="1:21" x14ac:dyDescent="0.25">
      <c r="A6" s="110"/>
      <c r="B6" s="110"/>
      <c r="C6" s="110"/>
      <c r="D6" s="110"/>
      <c r="E6" s="110"/>
      <c r="F6" s="110"/>
      <c r="G6" s="110"/>
      <c r="H6" s="110"/>
      <c r="I6" s="110"/>
      <c r="J6" s="110"/>
      <c r="K6" s="110"/>
      <c r="L6" s="110"/>
      <c r="M6" s="110"/>
      <c r="N6" s="110"/>
      <c r="O6" s="110"/>
      <c r="P6" s="110"/>
      <c r="Q6" s="110"/>
      <c r="R6" s="110"/>
      <c r="S6" s="110"/>
      <c r="T6" s="110"/>
      <c r="U6" s="110"/>
    </row>
    <row r="7" spans="1:21" x14ac:dyDescent="0.25">
      <c r="A7" s="110"/>
      <c r="B7" s="110"/>
      <c r="C7" s="110"/>
      <c r="D7" s="110"/>
      <c r="E7" s="110"/>
      <c r="F7" s="110"/>
      <c r="G7" s="110"/>
      <c r="H7" s="110"/>
      <c r="I7" s="110"/>
      <c r="J7" s="110"/>
      <c r="K7" s="110"/>
      <c r="L7" s="110"/>
      <c r="M7" s="110"/>
      <c r="N7" s="110"/>
      <c r="O7" s="110"/>
      <c r="P7" s="110"/>
      <c r="Q7" s="110"/>
      <c r="R7" s="110"/>
      <c r="S7" s="110"/>
      <c r="T7" s="110"/>
      <c r="U7" s="110"/>
    </row>
    <row r="8" spans="1:21" x14ac:dyDescent="0.25">
      <c r="A8" s="110"/>
      <c r="B8" s="110"/>
      <c r="C8" s="110"/>
      <c r="D8" s="110"/>
      <c r="E8" s="110"/>
      <c r="F8" s="110"/>
      <c r="G8" s="110"/>
      <c r="H8" s="110"/>
      <c r="I8" s="110"/>
      <c r="J8" s="110"/>
      <c r="K8" s="110"/>
      <c r="L8" s="110"/>
      <c r="M8" s="110"/>
      <c r="N8" s="110"/>
      <c r="O8" s="110"/>
      <c r="P8" s="110"/>
      <c r="Q8" s="110"/>
      <c r="R8" s="110"/>
      <c r="S8" s="110"/>
      <c r="T8" s="110"/>
      <c r="U8" s="110"/>
    </row>
    <row r="9" spans="1:21" x14ac:dyDescent="0.25">
      <c r="A9" s="110"/>
      <c r="B9" s="110"/>
      <c r="C9" s="110"/>
      <c r="D9" s="110"/>
      <c r="E9" s="110"/>
      <c r="F9" s="110"/>
      <c r="G9" s="110"/>
      <c r="H9" s="110"/>
      <c r="I9" s="110"/>
      <c r="J9" s="110"/>
      <c r="K9" s="110"/>
      <c r="L9" s="110"/>
      <c r="M9" s="110"/>
      <c r="N9" s="110"/>
      <c r="O9" s="110"/>
      <c r="P9" s="110"/>
      <c r="Q9" s="110"/>
      <c r="R9" s="110"/>
      <c r="S9" s="110"/>
      <c r="T9" s="110"/>
      <c r="U9" s="110"/>
    </row>
    <row r="10" spans="1:21" x14ac:dyDescent="0.25">
      <c r="A10" s="110"/>
      <c r="B10" s="110"/>
      <c r="C10" s="110"/>
      <c r="D10" s="110"/>
      <c r="E10" s="110"/>
      <c r="F10" s="110"/>
      <c r="G10" s="110"/>
      <c r="H10" s="110"/>
      <c r="I10" s="110"/>
      <c r="J10" s="110"/>
      <c r="K10" s="110"/>
      <c r="L10" s="110"/>
      <c r="M10" s="110"/>
      <c r="N10" s="110"/>
      <c r="O10" s="110"/>
      <c r="P10" s="110"/>
      <c r="Q10" s="110"/>
      <c r="R10" s="110"/>
      <c r="S10" s="110"/>
      <c r="T10" s="110"/>
      <c r="U10" s="110"/>
    </row>
    <row r="11" spans="1:21" x14ac:dyDescent="0.25">
      <c r="A11" s="110"/>
      <c r="B11" s="110"/>
      <c r="C11" s="110"/>
      <c r="D11" s="110"/>
      <c r="E11" s="110"/>
      <c r="F11" s="110"/>
      <c r="G11" s="110"/>
      <c r="H11" s="110"/>
      <c r="I11" s="110"/>
      <c r="J11" s="110"/>
      <c r="K11" s="110"/>
      <c r="L11" s="110"/>
      <c r="M11" s="110"/>
      <c r="N11" s="110"/>
      <c r="O11" s="110"/>
      <c r="P11" s="110"/>
      <c r="Q11" s="110"/>
      <c r="R11" s="110"/>
      <c r="S11" s="110"/>
      <c r="T11" s="110"/>
      <c r="U11" s="110"/>
    </row>
    <row r="12" spans="1:21" x14ac:dyDescent="0.25">
      <c r="A12" s="110"/>
      <c r="B12" s="110"/>
      <c r="C12" s="110"/>
      <c r="D12" s="110"/>
      <c r="E12" s="110"/>
      <c r="F12" s="110"/>
      <c r="G12" s="110"/>
      <c r="H12" s="110"/>
      <c r="I12" s="110"/>
      <c r="J12" s="110"/>
      <c r="K12" s="110"/>
      <c r="L12" s="110"/>
      <c r="M12" s="110"/>
      <c r="N12" s="110"/>
      <c r="O12" s="110"/>
      <c r="P12" s="110"/>
      <c r="Q12" s="110"/>
      <c r="R12" s="110"/>
      <c r="S12" s="110"/>
      <c r="T12" s="110"/>
      <c r="U12" s="110"/>
    </row>
    <row r="13" spans="1:21" x14ac:dyDescent="0.25">
      <c r="A13" s="110"/>
      <c r="B13" s="110"/>
      <c r="C13" s="110"/>
      <c r="D13" s="110"/>
      <c r="E13" s="110"/>
      <c r="F13" s="110"/>
      <c r="G13" s="110"/>
      <c r="H13" s="110"/>
      <c r="I13" s="110"/>
      <c r="J13" s="110"/>
      <c r="K13" s="110"/>
      <c r="L13" s="110"/>
      <c r="M13" s="110"/>
      <c r="N13" s="110"/>
      <c r="O13" s="110"/>
      <c r="P13" s="110"/>
      <c r="Q13" s="110"/>
      <c r="R13" s="110"/>
      <c r="S13" s="110"/>
      <c r="T13" s="110"/>
      <c r="U13" s="110"/>
    </row>
    <row r="14" spans="1:21" x14ac:dyDescent="0.25">
      <c r="A14" s="110"/>
      <c r="B14" s="110"/>
      <c r="C14" s="110"/>
      <c r="D14" s="110"/>
      <c r="E14" s="110"/>
      <c r="F14" s="110"/>
      <c r="G14" s="110"/>
      <c r="H14" s="110"/>
      <c r="I14" s="110"/>
      <c r="J14" s="110"/>
      <c r="K14" s="110"/>
      <c r="L14" s="110"/>
      <c r="M14" s="110"/>
      <c r="N14" s="110"/>
      <c r="O14" s="110"/>
      <c r="P14" s="110"/>
      <c r="Q14" s="110"/>
      <c r="R14" s="110"/>
      <c r="S14" s="110"/>
      <c r="T14" s="110"/>
      <c r="U14" s="110"/>
    </row>
    <row r="15" spans="1:21" x14ac:dyDescent="0.25">
      <c r="A15" s="110"/>
      <c r="B15" s="110"/>
      <c r="C15" s="110"/>
      <c r="D15" s="110"/>
      <c r="E15" s="110"/>
      <c r="F15" s="110"/>
      <c r="G15" s="110"/>
      <c r="H15" s="110"/>
      <c r="I15" s="110"/>
      <c r="J15" s="110"/>
      <c r="K15" s="110"/>
      <c r="L15" s="110"/>
      <c r="M15" s="110"/>
      <c r="N15" s="110"/>
      <c r="O15" s="110"/>
      <c r="P15" s="110"/>
      <c r="Q15" s="110"/>
      <c r="R15" s="110"/>
      <c r="S15" s="110"/>
      <c r="T15" s="110"/>
      <c r="U15" s="110"/>
    </row>
    <row r="16" spans="1:21" x14ac:dyDescent="0.25">
      <c r="A16" s="110"/>
      <c r="B16" s="110"/>
      <c r="C16" s="110"/>
      <c r="D16" s="110"/>
      <c r="E16" s="110"/>
      <c r="F16" s="110"/>
      <c r="G16" s="110"/>
      <c r="H16" s="110"/>
      <c r="I16" s="110"/>
      <c r="J16" s="110"/>
      <c r="K16" s="110"/>
      <c r="L16" s="110"/>
      <c r="M16" s="110"/>
      <c r="N16" s="110"/>
      <c r="O16" s="110"/>
      <c r="P16" s="110"/>
      <c r="Q16" s="110"/>
      <c r="R16" s="110"/>
      <c r="S16" s="110"/>
      <c r="T16" s="110"/>
      <c r="U16" s="110"/>
    </row>
    <row r="17" spans="1:21" x14ac:dyDescent="0.25">
      <c r="A17" s="110"/>
      <c r="B17" s="110"/>
      <c r="C17" s="110"/>
      <c r="D17" s="110"/>
      <c r="E17" s="110"/>
      <c r="F17" s="110"/>
      <c r="G17" s="110"/>
      <c r="H17" s="110"/>
      <c r="I17" s="110"/>
      <c r="J17" s="110"/>
      <c r="K17" s="110"/>
      <c r="L17" s="110"/>
      <c r="M17" s="110"/>
      <c r="N17" s="110"/>
      <c r="O17" s="110"/>
      <c r="P17" s="110"/>
      <c r="Q17" s="110"/>
      <c r="R17" s="110"/>
      <c r="S17" s="110"/>
      <c r="T17" s="110"/>
      <c r="U17" s="110"/>
    </row>
    <row r="18" spans="1:21" x14ac:dyDescent="0.25">
      <c r="A18" s="110"/>
      <c r="B18" s="110"/>
      <c r="C18" s="110"/>
      <c r="D18" s="110"/>
      <c r="E18" s="110"/>
      <c r="F18" s="110"/>
      <c r="G18" s="110"/>
      <c r="H18" s="110"/>
      <c r="I18" s="110"/>
      <c r="J18" s="110"/>
      <c r="K18" s="110"/>
      <c r="L18" s="110"/>
      <c r="M18" s="110"/>
      <c r="N18" s="110"/>
      <c r="O18" s="110"/>
      <c r="P18" s="110"/>
      <c r="Q18" s="110"/>
      <c r="R18" s="110"/>
      <c r="S18" s="110"/>
      <c r="T18" s="110"/>
      <c r="U18" s="110"/>
    </row>
    <row r="19" spans="1:21" x14ac:dyDescent="0.25">
      <c r="A19" s="110"/>
      <c r="B19" s="110"/>
      <c r="C19" s="110"/>
      <c r="D19" s="110"/>
      <c r="E19" s="110"/>
      <c r="F19" s="110"/>
      <c r="G19" s="110"/>
      <c r="H19" s="110"/>
      <c r="I19" s="110"/>
      <c r="J19" s="110"/>
      <c r="K19" s="110"/>
      <c r="L19" s="110"/>
      <c r="M19" s="110"/>
      <c r="N19" s="110"/>
      <c r="O19" s="110"/>
      <c r="P19" s="110"/>
      <c r="Q19" s="110"/>
      <c r="R19" s="110"/>
      <c r="S19" s="110"/>
      <c r="T19" s="110"/>
      <c r="U19" s="110"/>
    </row>
    <row r="20" spans="1:21" x14ac:dyDescent="0.25">
      <c r="A20" s="110"/>
      <c r="B20" s="110"/>
      <c r="C20" s="110"/>
      <c r="D20" s="110"/>
      <c r="E20" s="110"/>
      <c r="F20" s="110"/>
      <c r="G20" s="110"/>
      <c r="H20" s="110"/>
      <c r="I20" s="110"/>
      <c r="J20" s="110"/>
      <c r="K20" s="110"/>
      <c r="L20" s="110"/>
      <c r="M20" s="110"/>
      <c r="N20" s="110"/>
      <c r="O20" s="110"/>
      <c r="P20" s="110"/>
      <c r="Q20" s="110"/>
      <c r="R20" s="110"/>
      <c r="S20" s="110"/>
      <c r="T20" s="110"/>
      <c r="U20" s="110"/>
    </row>
    <row r="21" spans="1:21" x14ac:dyDescent="0.25">
      <c r="A21" s="110"/>
      <c r="B21" s="110"/>
      <c r="C21" s="110"/>
      <c r="D21" s="110"/>
      <c r="E21" s="110"/>
      <c r="F21" s="110"/>
      <c r="G21" s="110"/>
      <c r="H21" s="110"/>
      <c r="I21" s="110"/>
      <c r="J21" s="110"/>
      <c r="K21" s="110"/>
      <c r="L21" s="110"/>
      <c r="M21" s="110"/>
      <c r="N21" s="110"/>
      <c r="O21" s="110"/>
      <c r="P21" s="110"/>
      <c r="Q21" s="110"/>
      <c r="R21" s="110"/>
      <c r="S21" s="110"/>
      <c r="T21" s="110"/>
      <c r="U21" s="110"/>
    </row>
    <row r="22" spans="1:21" x14ac:dyDescent="0.25">
      <c r="A22" s="110"/>
      <c r="B22" s="110"/>
      <c r="C22" s="110"/>
      <c r="D22" s="110"/>
      <c r="E22" s="110"/>
      <c r="F22" s="110"/>
      <c r="G22" s="110"/>
      <c r="H22" s="110"/>
      <c r="I22" s="110"/>
      <c r="J22" s="110"/>
      <c r="K22" s="110"/>
      <c r="L22" s="110"/>
      <c r="M22" s="110"/>
      <c r="N22" s="110"/>
      <c r="O22" s="110"/>
      <c r="P22" s="110"/>
      <c r="Q22" s="110"/>
      <c r="R22" s="110"/>
      <c r="S22" s="110"/>
      <c r="T22" s="110"/>
      <c r="U22" s="110"/>
    </row>
    <row r="23" spans="1:21" x14ac:dyDescent="0.25">
      <c r="A23" s="110"/>
      <c r="B23" s="110"/>
      <c r="C23" s="110"/>
      <c r="D23" s="110"/>
      <c r="E23" s="110"/>
      <c r="F23" s="110"/>
      <c r="G23" s="110"/>
      <c r="H23" s="110"/>
      <c r="I23" s="110"/>
      <c r="J23" s="110"/>
      <c r="K23" s="110"/>
      <c r="L23" s="110"/>
      <c r="M23" s="110"/>
      <c r="N23" s="110"/>
      <c r="O23" s="110"/>
      <c r="P23" s="110"/>
      <c r="Q23" s="110"/>
      <c r="R23" s="110"/>
      <c r="S23" s="110"/>
      <c r="T23" s="110"/>
      <c r="U23" s="110"/>
    </row>
    <row r="24" spans="1:21" x14ac:dyDescent="0.25">
      <c r="A24" s="110"/>
      <c r="B24" s="110"/>
      <c r="C24" s="110"/>
      <c r="D24" s="110"/>
      <c r="E24" s="110"/>
      <c r="F24" s="110"/>
      <c r="G24" s="110"/>
      <c r="H24" s="110"/>
      <c r="I24" s="110"/>
      <c r="J24" s="110"/>
      <c r="K24" s="110"/>
      <c r="L24" s="110"/>
      <c r="M24" s="110"/>
      <c r="N24" s="110"/>
      <c r="O24" s="110"/>
      <c r="P24" s="110"/>
      <c r="Q24" s="110"/>
      <c r="R24" s="110"/>
      <c r="S24" s="110"/>
      <c r="T24" s="110"/>
      <c r="U24" s="110"/>
    </row>
    <row r="25" spans="1:21" x14ac:dyDescent="0.25">
      <c r="A25" s="110"/>
      <c r="B25" s="110"/>
      <c r="C25" s="110"/>
      <c r="D25" s="110"/>
      <c r="E25" s="110"/>
      <c r="F25" s="110"/>
      <c r="G25" s="110"/>
      <c r="H25" s="110"/>
      <c r="I25" s="110"/>
      <c r="J25" s="110"/>
      <c r="K25" s="110"/>
      <c r="L25" s="110"/>
      <c r="M25" s="110"/>
      <c r="N25" s="110"/>
      <c r="O25" s="110"/>
      <c r="P25" s="110"/>
      <c r="Q25" s="110"/>
      <c r="R25" s="110"/>
      <c r="S25" s="110"/>
      <c r="T25" s="110"/>
      <c r="U25" s="110"/>
    </row>
    <row r="26" spans="1:21" x14ac:dyDescent="0.25">
      <c r="A26" s="110"/>
      <c r="B26" s="110"/>
      <c r="C26" s="110"/>
      <c r="D26" s="110"/>
      <c r="E26" s="110"/>
      <c r="F26" s="110"/>
      <c r="G26" s="110"/>
      <c r="H26" s="110"/>
      <c r="I26" s="110"/>
      <c r="J26" s="110"/>
      <c r="K26" s="110"/>
      <c r="L26" s="110"/>
      <c r="M26" s="110"/>
      <c r="N26" s="110"/>
      <c r="O26" s="110"/>
      <c r="P26" s="110"/>
      <c r="Q26" s="110"/>
      <c r="R26" s="110"/>
      <c r="S26" s="110"/>
      <c r="T26" s="110"/>
      <c r="U26" s="110"/>
    </row>
    <row r="27" spans="1:21" x14ac:dyDescent="0.25">
      <c r="A27" s="110"/>
      <c r="B27" s="110"/>
      <c r="C27" s="110"/>
      <c r="D27" s="110"/>
      <c r="E27" s="110"/>
      <c r="F27" s="110"/>
      <c r="G27" s="110"/>
      <c r="H27" s="110"/>
      <c r="I27" s="110"/>
      <c r="J27" s="110"/>
      <c r="K27" s="110"/>
      <c r="L27" s="110"/>
      <c r="M27" s="110"/>
      <c r="N27" s="110"/>
      <c r="O27" s="110"/>
      <c r="P27" s="110"/>
      <c r="Q27" s="110"/>
      <c r="R27" s="110"/>
      <c r="S27" s="110"/>
      <c r="T27" s="110"/>
      <c r="U27" s="110"/>
    </row>
    <row r="28" spans="1:21" x14ac:dyDescent="0.25">
      <c r="A28" s="110"/>
      <c r="B28" s="110"/>
      <c r="C28" s="110"/>
      <c r="D28" s="110"/>
      <c r="E28" s="110"/>
      <c r="F28" s="110"/>
      <c r="G28" s="110"/>
      <c r="H28" s="110"/>
      <c r="I28" s="110"/>
      <c r="J28" s="110"/>
      <c r="K28" s="110"/>
      <c r="L28" s="110"/>
      <c r="M28" s="110"/>
      <c r="N28" s="110"/>
      <c r="O28" s="110"/>
      <c r="P28" s="110"/>
      <c r="Q28" s="110"/>
      <c r="R28" s="110"/>
      <c r="S28" s="110"/>
      <c r="T28" s="110"/>
      <c r="U28" s="110"/>
    </row>
    <row r="29" spans="1:21" x14ac:dyDescent="0.25">
      <c r="A29" s="110"/>
      <c r="B29" s="110"/>
      <c r="C29" s="110"/>
      <c r="D29" s="110"/>
      <c r="E29" s="110"/>
      <c r="F29" s="110"/>
      <c r="G29" s="110"/>
      <c r="H29" s="110"/>
      <c r="I29" s="110"/>
      <c r="J29" s="110"/>
      <c r="K29" s="110"/>
      <c r="L29" s="110"/>
      <c r="M29" s="110"/>
      <c r="N29" s="110"/>
      <c r="O29" s="110"/>
      <c r="P29" s="110"/>
      <c r="Q29" s="110"/>
      <c r="R29" s="110"/>
      <c r="S29" s="110"/>
      <c r="T29" s="110"/>
      <c r="U29" s="110"/>
    </row>
    <row r="30" spans="1:21" x14ac:dyDescent="0.25">
      <c r="A30" s="110"/>
      <c r="B30" s="110"/>
      <c r="C30" s="110"/>
      <c r="D30" s="110"/>
      <c r="E30" s="110"/>
      <c r="F30" s="110"/>
      <c r="G30" s="110"/>
      <c r="H30" s="110"/>
      <c r="I30" s="110"/>
      <c r="J30" s="110"/>
      <c r="K30" s="110"/>
      <c r="L30" s="110"/>
      <c r="M30" s="110"/>
      <c r="N30" s="110"/>
      <c r="O30" s="110"/>
      <c r="P30" s="110"/>
      <c r="Q30" s="110"/>
      <c r="R30" s="110"/>
      <c r="S30" s="110"/>
      <c r="T30" s="110"/>
      <c r="U30" s="110"/>
    </row>
    <row r="31" spans="1:21" x14ac:dyDescent="0.25">
      <c r="A31" s="110"/>
      <c r="B31" s="110"/>
      <c r="C31" s="110"/>
      <c r="D31" s="110"/>
      <c r="E31" s="110"/>
      <c r="F31" s="110"/>
      <c r="G31" s="110"/>
      <c r="H31" s="110"/>
      <c r="I31" s="110"/>
      <c r="J31" s="110"/>
      <c r="K31" s="110"/>
      <c r="L31" s="110"/>
      <c r="M31" s="110"/>
      <c r="N31" s="110"/>
      <c r="O31" s="110"/>
      <c r="P31" s="110"/>
      <c r="Q31" s="110"/>
      <c r="R31" s="110"/>
      <c r="S31" s="110"/>
      <c r="T31" s="110"/>
      <c r="U31" s="110"/>
    </row>
    <row r="32" spans="1:21" x14ac:dyDescent="0.25">
      <c r="A32" s="110"/>
      <c r="B32" s="110"/>
      <c r="C32" s="110"/>
      <c r="D32" s="110"/>
      <c r="E32" s="110"/>
      <c r="F32" s="110"/>
      <c r="G32" s="110"/>
      <c r="H32" s="110"/>
      <c r="I32" s="110"/>
      <c r="J32" s="110"/>
      <c r="K32" s="110"/>
      <c r="L32" s="110"/>
      <c r="M32" s="110"/>
      <c r="N32" s="110"/>
      <c r="O32" s="110"/>
      <c r="P32" s="110"/>
      <c r="Q32" s="110"/>
      <c r="R32" s="110"/>
      <c r="S32" s="110"/>
      <c r="T32" s="110"/>
      <c r="U32" s="110"/>
    </row>
    <row r="33" spans="1:21" x14ac:dyDescent="0.25">
      <c r="A33" s="110"/>
      <c r="B33" s="110"/>
      <c r="C33" s="110"/>
      <c r="D33" s="110"/>
      <c r="E33" s="110"/>
      <c r="F33" s="110"/>
      <c r="G33" s="110"/>
      <c r="H33" s="110"/>
      <c r="I33" s="110"/>
      <c r="J33" s="110"/>
      <c r="K33" s="110"/>
      <c r="L33" s="110"/>
      <c r="M33" s="110"/>
      <c r="N33" s="110"/>
      <c r="O33" s="110"/>
      <c r="P33" s="110"/>
      <c r="Q33" s="110"/>
      <c r="R33" s="110"/>
      <c r="S33" s="110"/>
      <c r="T33" s="110"/>
      <c r="U33" s="110"/>
    </row>
    <row r="34" spans="1:21" x14ac:dyDescent="0.25">
      <c r="A34" s="110"/>
      <c r="B34" s="110"/>
      <c r="C34" s="110"/>
      <c r="D34" s="110"/>
      <c r="E34" s="110"/>
      <c r="F34" s="110"/>
      <c r="G34" s="110"/>
      <c r="H34" s="110"/>
      <c r="I34" s="110"/>
      <c r="J34" s="110"/>
      <c r="K34" s="110"/>
      <c r="L34" s="110"/>
      <c r="M34" s="110"/>
      <c r="N34" s="110"/>
      <c r="O34" s="110"/>
      <c r="P34" s="110"/>
      <c r="Q34" s="110"/>
      <c r="R34" s="110"/>
      <c r="S34" s="110"/>
      <c r="T34" s="110"/>
      <c r="U34" s="110"/>
    </row>
    <row r="35" spans="1:21" x14ac:dyDescent="0.25">
      <c r="A35" s="110"/>
      <c r="B35" s="110"/>
      <c r="C35" s="110"/>
      <c r="D35" s="110"/>
      <c r="E35" s="110"/>
      <c r="F35" s="110"/>
      <c r="G35" s="110"/>
      <c r="H35" s="110"/>
      <c r="I35" s="110"/>
      <c r="J35" s="110"/>
      <c r="K35" s="110"/>
      <c r="L35" s="110"/>
      <c r="M35" s="110"/>
      <c r="N35" s="110"/>
      <c r="O35" s="110"/>
      <c r="P35" s="110"/>
      <c r="Q35" s="110"/>
      <c r="R35" s="110"/>
      <c r="S35" s="110"/>
      <c r="T35" s="110"/>
      <c r="U35" s="110"/>
    </row>
    <row r="36" spans="1:21" x14ac:dyDescent="0.25">
      <c r="A36" s="110"/>
      <c r="B36" s="110"/>
      <c r="C36" s="110"/>
      <c r="D36" s="110"/>
      <c r="E36" s="110"/>
      <c r="F36" s="110"/>
      <c r="G36" s="110"/>
      <c r="H36" s="110"/>
      <c r="I36" s="110"/>
      <c r="J36" s="110"/>
      <c r="K36" s="110"/>
      <c r="L36" s="110"/>
      <c r="M36" s="110"/>
      <c r="N36" s="110"/>
      <c r="O36" s="110"/>
      <c r="P36" s="110"/>
      <c r="Q36" s="110"/>
      <c r="R36" s="110"/>
      <c r="S36" s="110"/>
      <c r="T36" s="110"/>
      <c r="U36" s="110"/>
    </row>
    <row r="37" spans="1:21" x14ac:dyDescent="0.25">
      <c r="A37" s="110"/>
      <c r="B37" s="110"/>
      <c r="C37" s="110"/>
      <c r="D37" s="110"/>
      <c r="E37" s="110"/>
      <c r="F37" s="110"/>
      <c r="G37" s="110"/>
      <c r="H37" s="110"/>
      <c r="I37" s="110"/>
      <c r="J37" s="110"/>
      <c r="K37" s="110"/>
      <c r="L37" s="110"/>
      <c r="M37" s="110"/>
      <c r="N37" s="110"/>
      <c r="O37" s="110"/>
      <c r="P37" s="110"/>
      <c r="Q37" s="110"/>
      <c r="R37" s="110"/>
      <c r="S37" s="110"/>
      <c r="T37" s="110"/>
      <c r="U37" s="110"/>
    </row>
    <row r="40" spans="1:21" ht="15" customHeight="1" x14ac:dyDescent="0.25">
      <c r="A40" s="109" t="s">
        <v>153</v>
      </c>
      <c r="B40" s="109"/>
      <c r="C40" s="109"/>
      <c r="D40" s="109"/>
      <c r="E40" s="109"/>
      <c r="F40" s="109"/>
      <c r="G40" s="109"/>
      <c r="H40" s="109"/>
      <c r="I40" s="109"/>
      <c r="J40" s="109"/>
      <c r="K40" s="109"/>
      <c r="L40" s="109"/>
      <c r="M40" s="109"/>
      <c r="N40" s="109"/>
      <c r="O40" s="109"/>
      <c r="P40" s="109"/>
      <c r="Q40" s="109"/>
      <c r="R40" s="109"/>
    </row>
    <row r="41" spans="1:21" x14ac:dyDescent="0.25">
      <c r="A41" s="109"/>
      <c r="B41" s="109"/>
      <c r="C41" s="109"/>
      <c r="D41" s="109"/>
      <c r="E41" s="109"/>
      <c r="F41" s="109"/>
      <c r="G41" s="109"/>
      <c r="H41" s="109"/>
      <c r="I41" s="109"/>
      <c r="J41" s="109"/>
      <c r="K41" s="109"/>
      <c r="L41" s="109"/>
      <c r="M41" s="109"/>
      <c r="N41" s="109"/>
      <c r="O41" s="109"/>
      <c r="P41" s="109"/>
      <c r="Q41" s="109"/>
      <c r="R41" s="109"/>
    </row>
    <row r="42" spans="1:21" x14ac:dyDescent="0.25">
      <c r="A42" s="109"/>
      <c r="B42" s="109"/>
      <c r="C42" s="109"/>
      <c r="D42" s="109"/>
      <c r="E42" s="109"/>
      <c r="F42" s="109"/>
      <c r="G42" s="109"/>
      <c r="H42" s="109"/>
      <c r="I42" s="109"/>
      <c r="J42" s="109"/>
      <c r="K42" s="109"/>
      <c r="L42" s="109"/>
      <c r="M42" s="109"/>
      <c r="N42" s="109"/>
      <c r="O42" s="109"/>
      <c r="P42" s="109"/>
      <c r="Q42" s="109"/>
      <c r="R42" s="109"/>
    </row>
    <row r="43" spans="1:21" x14ac:dyDescent="0.25">
      <c r="A43" s="109"/>
      <c r="B43" s="109"/>
      <c r="C43" s="109"/>
      <c r="D43" s="109"/>
      <c r="E43" s="109"/>
      <c r="F43" s="109"/>
      <c r="G43" s="109"/>
      <c r="H43" s="109"/>
      <c r="I43" s="109"/>
      <c r="J43" s="109"/>
      <c r="K43" s="109"/>
      <c r="L43" s="109"/>
      <c r="M43" s="109"/>
      <c r="N43" s="109"/>
      <c r="O43" s="109"/>
      <c r="P43" s="109"/>
      <c r="Q43" s="109"/>
      <c r="R43" s="109"/>
    </row>
    <row r="44" spans="1:21" x14ac:dyDescent="0.25">
      <c r="A44" s="109"/>
      <c r="B44" s="109"/>
      <c r="C44" s="109"/>
      <c r="D44" s="109"/>
      <c r="E44" s="109"/>
      <c r="F44" s="109"/>
      <c r="G44" s="109"/>
      <c r="H44" s="109"/>
      <c r="I44" s="109"/>
      <c r="J44" s="109"/>
      <c r="K44" s="109"/>
      <c r="L44" s="109"/>
      <c r="M44" s="109"/>
      <c r="N44" s="109"/>
      <c r="O44" s="109"/>
      <c r="P44" s="109"/>
      <c r="Q44" s="109"/>
      <c r="R44" s="109"/>
    </row>
    <row r="45" spans="1:21" x14ac:dyDescent="0.25">
      <c r="A45" s="109"/>
      <c r="B45" s="109"/>
      <c r="C45" s="109"/>
      <c r="D45" s="109"/>
      <c r="E45" s="109"/>
      <c r="F45" s="109"/>
      <c r="G45" s="109"/>
      <c r="H45" s="109"/>
      <c r="I45" s="109"/>
      <c r="J45" s="109"/>
      <c r="K45" s="109"/>
      <c r="L45" s="109"/>
      <c r="M45" s="109"/>
      <c r="N45" s="109"/>
      <c r="O45" s="109"/>
      <c r="P45" s="109"/>
      <c r="Q45" s="109"/>
      <c r="R45" s="109"/>
    </row>
    <row r="46" spans="1:21" x14ac:dyDescent="0.25">
      <c r="A46" s="109"/>
      <c r="B46" s="109"/>
      <c r="C46" s="109"/>
      <c r="D46" s="109"/>
      <c r="E46" s="109"/>
      <c r="F46" s="109"/>
      <c r="G46" s="109"/>
      <c r="H46" s="109"/>
      <c r="I46" s="109"/>
      <c r="J46" s="109"/>
      <c r="K46" s="109"/>
      <c r="L46" s="109"/>
      <c r="M46" s="109"/>
      <c r="N46" s="109"/>
      <c r="O46" s="109"/>
      <c r="P46" s="109"/>
      <c r="Q46" s="109"/>
      <c r="R46" s="109"/>
    </row>
    <row r="47" spans="1:21" x14ac:dyDescent="0.25">
      <c r="A47" s="109"/>
      <c r="B47" s="109"/>
      <c r="C47" s="109"/>
      <c r="D47" s="109"/>
      <c r="E47" s="109"/>
      <c r="F47" s="109"/>
      <c r="G47" s="109"/>
      <c r="H47" s="109"/>
      <c r="I47" s="109"/>
      <c r="J47" s="109"/>
      <c r="K47" s="109"/>
      <c r="L47" s="109"/>
      <c r="M47" s="109"/>
      <c r="N47" s="109"/>
      <c r="O47" s="109"/>
      <c r="P47" s="109"/>
      <c r="Q47" s="109"/>
      <c r="R47" s="109"/>
    </row>
    <row r="48" spans="1:21" x14ac:dyDescent="0.25">
      <c r="A48" s="109"/>
      <c r="B48" s="109"/>
      <c r="C48" s="109"/>
      <c r="D48" s="109"/>
      <c r="E48" s="109"/>
      <c r="F48" s="109"/>
      <c r="G48" s="109"/>
      <c r="H48" s="109"/>
      <c r="I48" s="109"/>
      <c r="J48" s="109"/>
      <c r="K48" s="109"/>
      <c r="L48" s="109"/>
      <c r="M48" s="109"/>
      <c r="N48" s="109"/>
      <c r="O48" s="109"/>
      <c r="P48" s="109"/>
      <c r="Q48" s="109"/>
      <c r="R48" s="109"/>
    </row>
    <row r="49" spans="1:18" x14ac:dyDescent="0.25">
      <c r="A49" s="109"/>
      <c r="B49" s="109"/>
      <c r="C49" s="109"/>
      <c r="D49" s="109"/>
      <c r="E49" s="109"/>
      <c r="F49" s="109"/>
      <c r="G49" s="109"/>
      <c r="H49" s="109"/>
      <c r="I49" s="109"/>
      <c r="J49" s="109"/>
      <c r="K49" s="109"/>
      <c r="L49" s="109"/>
      <c r="M49" s="109"/>
      <c r="N49" s="109"/>
      <c r="O49" s="109"/>
      <c r="P49" s="109"/>
      <c r="Q49" s="109"/>
      <c r="R49" s="109"/>
    </row>
    <row r="50" spans="1:18" x14ac:dyDescent="0.25">
      <c r="A50" s="109"/>
      <c r="B50" s="109"/>
      <c r="C50" s="109"/>
      <c r="D50" s="109"/>
      <c r="E50" s="109"/>
      <c r="F50" s="109"/>
      <c r="G50" s="109"/>
      <c r="H50" s="109"/>
      <c r="I50" s="109"/>
      <c r="J50" s="109"/>
      <c r="K50" s="109"/>
      <c r="L50" s="109"/>
      <c r="M50" s="109"/>
      <c r="N50" s="109"/>
      <c r="O50" s="109"/>
      <c r="P50" s="109"/>
      <c r="Q50" s="109"/>
      <c r="R50" s="109"/>
    </row>
    <row r="51" spans="1:18" x14ac:dyDescent="0.25">
      <c r="A51" s="109"/>
      <c r="B51" s="109"/>
      <c r="C51" s="109"/>
      <c r="D51" s="109"/>
      <c r="E51" s="109"/>
      <c r="F51" s="109"/>
      <c r="G51" s="109"/>
      <c r="H51" s="109"/>
      <c r="I51" s="109"/>
      <c r="J51" s="109"/>
      <c r="K51" s="109"/>
      <c r="L51" s="109"/>
      <c r="M51" s="109"/>
      <c r="N51" s="109"/>
      <c r="O51" s="109"/>
      <c r="P51" s="109"/>
      <c r="Q51" s="109"/>
      <c r="R51" s="109"/>
    </row>
    <row r="52" spans="1:18" x14ac:dyDescent="0.25">
      <c r="A52" s="109"/>
      <c r="B52" s="109"/>
      <c r="C52" s="109"/>
      <c r="D52" s="109"/>
      <c r="E52" s="109"/>
      <c r="F52" s="109"/>
      <c r="G52" s="109"/>
      <c r="H52" s="109"/>
      <c r="I52" s="109"/>
      <c r="J52" s="109"/>
      <c r="K52" s="109"/>
      <c r="L52" s="109"/>
      <c r="M52" s="109"/>
      <c r="N52" s="109"/>
      <c r="O52" s="109"/>
      <c r="P52" s="109"/>
      <c r="Q52" s="109"/>
      <c r="R52" s="109"/>
    </row>
    <row r="53" spans="1:18" x14ac:dyDescent="0.25">
      <c r="A53" s="109"/>
      <c r="B53" s="109"/>
      <c r="C53" s="109"/>
      <c r="D53" s="109"/>
      <c r="E53" s="109"/>
      <c r="F53" s="109"/>
      <c r="G53" s="109"/>
      <c r="H53" s="109"/>
      <c r="I53" s="109"/>
      <c r="J53" s="109"/>
      <c r="K53" s="109"/>
      <c r="L53" s="109"/>
      <c r="M53" s="109"/>
      <c r="N53" s="109"/>
      <c r="O53" s="109"/>
      <c r="P53" s="109"/>
      <c r="Q53" s="109"/>
      <c r="R53" s="109"/>
    </row>
    <row r="54" spans="1:18" x14ac:dyDescent="0.25">
      <c r="A54" s="109"/>
      <c r="B54" s="109"/>
      <c r="C54" s="109"/>
      <c r="D54" s="109"/>
      <c r="E54" s="109"/>
      <c r="F54" s="109"/>
      <c r="G54" s="109"/>
      <c r="H54" s="109"/>
      <c r="I54" s="109"/>
      <c r="J54" s="109"/>
      <c r="K54" s="109"/>
      <c r="L54" s="109"/>
      <c r="M54" s="109"/>
      <c r="N54" s="109"/>
      <c r="O54" s="109"/>
      <c r="P54" s="109"/>
      <c r="Q54" s="109"/>
      <c r="R54" s="109"/>
    </row>
    <row r="55" spans="1:18" x14ac:dyDescent="0.25">
      <c r="A55" s="109"/>
      <c r="B55" s="109"/>
      <c r="C55" s="109"/>
      <c r="D55" s="109"/>
      <c r="E55" s="109"/>
      <c r="F55" s="109"/>
      <c r="G55" s="109"/>
      <c r="H55" s="109"/>
      <c r="I55" s="109"/>
      <c r="J55" s="109"/>
      <c r="K55" s="109"/>
      <c r="L55" s="109"/>
      <c r="M55" s="109"/>
      <c r="N55" s="109"/>
      <c r="O55" s="109"/>
      <c r="P55" s="109"/>
      <c r="Q55" s="109"/>
      <c r="R55" s="109"/>
    </row>
    <row r="56" spans="1:18" x14ac:dyDescent="0.25">
      <c r="A56" s="109"/>
      <c r="B56" s="109"/>
      <c r="C56" s="109"/>
      <c r="D56" s="109"/>
      <c r="E56" s="109"/>
      <c r="F56" s="109"/>
      <c r="G56" s="109"/>
      <c r="H56" s="109"/>
      <c r="I56" s="109"/>
      <c r="J56" s="109"/>
      <c r="K56" s="109"/>
      <c r="L56" s="109"/>
      <c r="M56" s="109"/>
      <c r="N56" s="109"/>
      <c r="O56" s="109"/>
      <c r="P56" s="109"/>
      <c r="Q56" s="109"/>
      <c r="R56" s="109"/>
    </row>
    <row r="57" spans="1:18" x14ac:dyDescent="0.25">
      <c r="A57" s="109"/>
      <c r="B57" s="109"/>
      <c r="C57" s="109"/>
      <c r="D57" s="109"/>
      <c r="E57" s="109"/>
      <c r="F57" s="109"/>
      <c r="G57" s="109"/>
      <c r="H57" s="109"/>
      <c r="I57" s="109"/>
      <c r="J57" s="109"/>
      <c r="K57" s="109"/>
      <c r="L57" s="109"/>
      <c r="M57" s="109"/>
      <c r="N57" s="109"/>
      <c r="O57" s="109"/>
      <c r="P57" s="109"/>
      <c r="Q57" s="109"/>
      <c r="R57" s="109"/>
    </row>
    <row r="58" spans="1:18" x14ac:dyDescent="0.25">
      <c r="A58" s="109"/>
      <c r="B58" s="109"/>
      <c r="C58" s="109"/>
      <c r="D58" s="109"/>
      <c r="E58" s="109"/>
      <c r="F58" s="109"/>
      <c r="G58" s="109"/>
      <c r="H58" s="109"/>
      <c r="I58" s="109"/>
      <c r="J58" s="109"/>
      <c r="K58" s="109"/>
      <c r="L58" s="109"/>
      <c r="M58" s="109"/>
      <c r="N58" s="109"/>
      <c r="O58" s="109"/>
      <c r="P58" s="109"/>
      <c r="Q58" s="109"/>
      <c r="R58" s="109"/>
    </row>
    <row r="59" spans="1:18" x14ac:dyDescent="0.25">
      <c r="A59" s="109"/>
      <c r="B59" s="109"/>
      <c r="C59" s="109"/>
      <c r="D59" s="109"/>
      <c r="E59" s="109"/>
      <c r="F59" s="109"/>
      <c r="G59" s="109"/>
      <c r="H59" s="109"/>
      <c r="I59" s="109"/>
      <c r="J59" s="109"/>
      <c r="K59" s="109"/>
      <c r="L59" s="109"/>
      <c r="M59" s="109"/>
      <c r="N59" s="109"/>
      <c r="O59" s="109"/>
      <c r="P59" s="109"/>
      <c r="Q59" s="109"/>
      <c r="R59" s="109"/>
    </row>
    <row r="60" spans="1:18" x14ac:dyDescent="0.25">
      <c r="A60" s="109"/>
      <c r="B60" s="109"/>
      <c r="C60" s="109"/>
      <c r="D60" s="109"/>
      <c r="E60" s="109"/>
      <c r="F60" s="109"/>
      <c r="G60" s="109"/>
      <c r="H60" s="109"/>
      <c r="I60" s="109"/>
      <c r="J60" s="109"/>
      <c r="K60" s="109"/>
      <c r="L60" s="109"/>
      <c r="M60" s="109"/>
      <c r="N60" s="109"/>
      <c r="O60" s="109"/>
      <c r="P60" s="109"/>
      <c r="Q60" s="109"/>
      <c r="R60" s="109"/>
    </row>
    <row r="61" spans="1:18" x14ac:dyDescent="0.25">
      <c r="A61" s="109"/>
      <c r="B61" s="109"/>
      <c r="C61" s="109"/>
      <c r="D61" s="109"/>
      <c r="E61" s="109"/>
      <c r="F61" s="109"/>
      <c r="G61" s="109"/>
      <c r="H61" s="109"/>
      <c r="I61" s="109"/>
      <c r="J61" s="109"/>
      <c r="K61" s="109"/>
      <c r="L61" s="109"/>
      <c r="M61" s="109"/>
      <c r="N61" s="109"/>
      <c r="O61" s="109"/>
      <c r="P61" s="109"/>
      <c r="Q61" s="109"/>
      <c r="R61" s="109"/>
    </row>
    <row r="62" spans="1:18" x14ac:dyDescent="0.25">
      <c r="A62" s="109"/>
      <c r="B62" s="109"/>
      <c r="C62" s="109"/>
      <c r="D62" s="109"/>
      <c r="E62" s="109"/>
      <c r="F62" s="109"/>
      <c r="G62" s="109"/>
      <c r="H62" s="109"/>
      <c r="I62" s="109"/>
      <c r="J62" s="109"/>
      <c r="K62" s="109"/>
      <c r="L62" s="109"/>
      <c r="M62" s="109"/>
      <c r="N62" s="109"/>
      <c r="O62" s="109"/>
      <c r="P62" s="109"/>
      <c r="Q62" s="109"/>
      <c r="R62" s="109"/>
    </row>
    <row r="63" spans="1:18" x14ac:dyDescent="0.25">
      <c r="A63" s="109"/>
      <c r="B63" s="109"/>
      <c r="C63" s="109"/>
      <c r="D63" s="109"/>
      <c r="E63" s="109"/>
      <c r="F63" s="109"/>
      <c r="G63" s="109"/>
      <c r="H63" s="109"/>
      <c r="I63" s="109"/>
      <c r="J63" s="109"/>
      <c r="K63" s="109"/>
      <c r="L63" s="109"/>
      <c r="M63" s="109"/>
      <c r="N63" s="109"/>
      <c r="O63" s="109"/>
      <c r="P63" s="109"/>
      <c r="Q63" s="109"/>
      <c r="R63" s="109"/>
    </row>
    <row r="64" spans="1:18" x14ac:dyDescent="0.25">
      <c r="A64" s="109"/>
      <c r="B64" s="109"/>
      <c r="C64" s="109"/>
      <c r="D64" s="109"/>
      <c r="E64" s="109"/>
      <c r="F64" s="109"/>
      <c r="G64" s="109"/>
      <c r="H64" s="109"/>
      <c r="I64" s="109"/>
      <c r="J64" s="109"/>
      <c r="K64" s="109"/>
      <c r="L64" s="109"/>
      <c r="M64" s="109"/>
      <c r="N64" s="109"/>
      <c r="O64" s="109"/>
      <c r="P64" s="109"/>
      <c r="Q64" s="109"/>
      <c r="R64" s="109"/>
    </row>
    <row r="65" spans="1:18" x14ac:dyDescent="0.25">
      <c r="A65" s="109"/>
      <c r="B65" s="109"/>
      <c r="C65" s="109"/>
      <c r="D65" s="109"/>
      <c r="E65" s="109"/>
      <c r="F65" s="109"/>
      <c r="G65" s="109"/>
      <c r="H65" s="109"/>
      <c r="I65" s="109"/>
      <c r="J65" s="109"/>
      <c r="K65" s="109"/>
      <c r="L65" s="109"/>
      <c r="M65" s="109"/>
      <c r="N65" s="109"/>
      <c r="O65" s="109"/>
      <c r="P65" s="109"/>
      <c r="Q65" s="109"/>
      <c r="R65" s="109"/>
    </row>
    <row r="66" spans="1:18" x14ac:dyDescent="0.25">
      <c r="A66" s="109"/>
      <c r="B66" s="109"/>
      <c r="C66" s="109"/>
      <c r="D66" s="109"/>
      <c r="E66" s="109"/>
      <c r="F66" s="109"/>
      <c r="G66" s="109"/>
      <c r="H66" s="109"/>
      <c r="I66" s="109"/>
      <c r="J66" s="109"/>
      <c r="K66" s="109"/>
      <c r="L66" s="109"/>
      <c r="M66" s="109"/>
      <c r="N66" s="109"/>
      <c r="O66" s="109"/>
      <c r="P66" s="109"/>
      <c r="Q66" s="109"/>
      <c r="R66" s="109"/>
    </row>
    <row r="67" spans="1:18" x14ac:dyDescent="0.25">
      <c r="A67" s="109"/>
      <c r="B67" s="109"/>
      <c r="C67" s="109"/>
      <c r="D67" s="109"/>
      <c r="E67" s="109"/>
      <c r="F67" s="109"/>
      <c r="G67" s="109"/>
      <c r="H67" s="109"/>
      <c r="I67" s="109"/>
      <c r="J67" s="109"/>
      <c r="K67" s="109"/>
      <c r="L67" s="109"/>
      <c r="M67" s="109"/>
      <c r="N67" s="109"/>
      <c r="O67" s="109"/>
      <c r="P67" s="109"/>
      <c r="Q67" s="109"/>
      <c r="R67" s="109"/>
    </row>
  </sheetData>
  <mergeCells count="2">
    <mergeCell ref="A1:U37"/>
    <mergeCell ref="A40:R67"/>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election activeCell="C14" sqref="C14"/>
    </sheetView>
  </sheetViews>
  <sheetFormatPr defaultColWidth="8.85546875" defaultRowHeight="15" x14ac:dyDescent="0.25"/>
  <cols>
    <col min="1" max="1" width="12.7109375" customWidth="1"/>
    <col min="2" max="2" width="8.7109375" customWidth="1"/>
    <col min="3" max="3" width="18.7109375" customWidth="1"/>
    <col min="4" max="4" width="20.7109375" customWidth="1"/>
    <col min="5" max="5" width="14.7109375" customWidth="1"/>
    <col min="6" max="6" width="18.7109375" customWidth="1"/>
    <col min="7" max="7" width="10.7109375" customWidth="1"/>
    <col min="8" max="8" width="30.7109375" customWidth="1"/>
  </cols>
  <sheetData>
    <row r="1" spans="1:9" x14ac:dyDescent="0.25">
      <c r="A1" s="1" t="s">
        <v>0</v>
      </c>
      <c r="B1" s="1" t="s">
        <v>1</v>
      </c>
      <c r="C1" s="1" t="s">
        <v>2</v>
      </c>
      <c r="D1" s="1" t="s">
        <v>3</v>
      </c>
      <c r="E1" s="1" t="s">
        <v>4</v>
      </c>
      <c r="F1" s="1" t="s">
        <v>5</v>
      </c>
      <c r="G1" s="1" t="s">
        <v>6</v>
      </c>
      <c r="H1" s="1" t="s">
        <v>7</v>
      </c>
      <c r="I1" s="1" t="s">
        <v>8</v>
      </c>
    </row>
    <row r="2" spans="1:9" x14ac:dyDescent="0.25">
      <c r="A2" s="3" t="s">
        <v>9</v>
      </c>
      <c r="B2" s="4"/>
      <c r="C2" s="4"/>
      <c r="D2" s="4"/>
      <c r="E2" s="4"/>
      <c r="F2" s="4"/>
      <c r="G2" s="5"/>
      <c r="H2" s="4"/>
      <c r="I2" s="4"/>
    </row>
    <row r="3" spans="1:9" x14ac:dyDescent="0.25">
      <c r="A3" s="6">
        <v>45964</v>
      </c>
      <c r="B3" s="7" t="s">
        <v>10</v>
      </c>
      <c r="C3" s="7">
        <v>28</v>
      </c>
      <c r="D3" s="7" t="str">
        <f>IF(AND($H3="",$I3=""),"",SUMPRODUCT(--ISNUMBER(SEARCH(","&amp;Verpleegkundigen!$C$2:$C$100&amp;",",","&amp;LOWER(SUBSTITUTE(SUBSTITUTE($H3," ",""),CHAR(160),""))&amp;","))*(Verpleegkundigen!$C$2:$C$100&lt;&gt;LOWER(SUBSTITUTE(SUBSTITUTE($I3," ",""),CHAR(160),""))),Verpleegkundigen!$B$2:$B$100)+IF($I3&lt;&gt;"",1,0))</f>
        <v/>
      </c>
      <c r="E3" s="7" t="str">
        <f>IF(AND(C3&lt;&gt;"",D3&lt;&gt;"",C3&gt;D3),"+" &amp; TEXT(C3-D3,"0"),"")</f>
        <v/>
      </c>
      <c r="F3" s="8" t="s">
        <v>11</v>
      </c>
      <c r="G3" s="7">
        <f>IF($H3="",4,LEN($H3)-LEN(SUBSTITUTE($H3,",",""))+1)</f>
        <v>4</v>
      </c>
      <c r="H3" s="7"/>
      <c r="I3" s="7"/>
    </row>
    <row r="4" spans="1:9" x14ac:dyDescent="0.25">
      <c r="A4" s="9">
        <v>45965</v>
      </c>
      <c r="B4" s="10" t="s">
        <v>12</v>
      </c>
      <c r="C4" s="10">
        <v>26</v>
      </c>
      <c r="D4" s="10" t="str">
        <f>IF(AND($H4="",$I4=""),"",SUMPRODUCT(--ISNUMBER(SEARCH(","&amp;Verpleegkundigen!$C$2:$C$100&amp;",",","&amp;LOWER(SUBSTITUTE(SUBSTITUTE($H4," ",""),CHAR(160),""))&amp;","))*(Verpleegkundigen!$C$2:$C$100&lt;&gt;LOWER(SUBSTITUTE(SUBSTITUTE($I4," ",""),CHAR(160),""))),Verpleegkundigen!$B$2:$B$100)+IF($I4&lt;&gt;"",1,0))</f>
        <v/>
      </c>
      <c r="E4" s="10" t="str">
        <f>IF(AND(C4&lt;&gt;"",D4&lt;&gt;"",C4&gt;D4),"+" &amp; TEXT(C4-D4,"0"),"")</f>
        <v/>
      </c>
      <c r="F4" s="4" t="s">
        <v>13</v>
      </c>
      <c r="G4" s="7">
        <f>IF($H4="",3,LEN($H4)-LEN(SUBSTITUTE($H4,",",""))+1)</f>
        <v>3</v>
      </c>
      <c r="H4" s="10"/>
      <c r="I4" s="10"/>
    </row>
    <row r="5" spans="1:9" x14ac:dyDescent="0.25">
      <c r="A5" s="6">
        <v>45966</v>
      </c>
      <c r="B5" s="7" t="s">
        <v>14</v>
      </c>
      <c r="C5" s="7">
        <v>19</v>
      </c>
      <c r="D5" s="7" t="str">
        <f>IF(AND($H5="",$I5=""),"",SUMPRODUCT(--ISNUMBER(SEARCH(","&amp;Verpleegkundigen!$C$2:$C$100&amp;",",","&amp;LOWER(SUBSTITUTE(SUBSTITUTE($H5," ",""),CHAR(160),""))&amp;","))*(Verpleegkundigen!$C$2:$C$100&lt;&gt;LOWER(SUBSTITUTE(SUBSTITUTE($I5," ",""),CHAR(160),""))),Verpleegkundigen!$B$2:$B$100)+IF($I5&lt;&gt;"",1,0))</f>
        <v/>
      </c>
      <c r="E5" s="7" t="str">
        <f>IF(AND(C5&lt;&gt;"",D5&lt;&gt;"",C5&gt;D5),"+" &amp; TEXT(C5-D5,"0"),"")</f>
        <v/>
      </c>
      <c r="F5" s="8" t="s">
        <v>15</v>
      </c>
      <c r="G5" s="7">
        <f>IF($H5="",3,LEN($H5)-LEN(SUBSTITUTE($H5,",",""))+1)</f>
        <v>3</v>
      </c>
      <c r="H5" s="7"/>
      <c r="I5" s="7"/>
    </row>
    <row r="6" spans="1:9" x14ac:dyDescent="0.25">
      <c r="A6" s="9">
        <v>45967</v>
      </c>
      <c r="B6" s="10" t="s">
        <v>16</v>
      </c>
      <c r="C6" s="10">
        <v>25</v>
      </c>
      <c r="D6" s="10" t="str">
        <f>IF(AND($H6="",$I6=""),"",SUMPRODUCT(--ISNUMBER(SEARCH(","&amp;Verpleegkundigen!$C$2:$C$100&amp;",",","&amp;LOWER(SUBSTITUTE(SUBSTITUTE($H6," ",""),CHAR(160),""))&amp;","))*(Verpleegkundigen!$C$2:$C$100&lt;&gt;LOWER(SUBSTITUTE(SUBSTITUTE($I6," ",""),CHAR(160),""))),Verpleegkundigen!$B$2:$B$100)+IF($I6&lt;&gt;"",1,0))</f>
        <v/>
      </c>
      <c r="E6" s="10" t="str">
        <f>IF(AND(C6&lt;&gt;"",D6&lt;&gt;"",C6&gt;D6),"+" &amp; TEXT(C6-D6,"0"),"")</f>
        <v/>
      </c>
      <c r="F6" s="4" t="s">
        <v>17</v>
      </c>
      <c r="G6" s="7">
        <f>IF($H6="",3,LEN($H6)-LEN(SUBSTITUTE($H6,",",""))+1)</f>
        <v>3</v>
      </c>
      <c r="H6" s="10"/>
      <c r="I6" s="10"/>
    </row>
    <row r="7" spans="1:9" x14ac:dyDescent="0.25">
      <c r="A7" s="6">
        <v>45968</v>
      </c>
      <c r="B7" s="7" t="s">
        <v>18</v>
      </c>
      <c r="C7" s="7">
        <v>21</v>
      </c>
      <c r="D7" s="7" t="str">
        <f>IF(AND($H7="",$I7=""),"",SUMPRODUCT(--ISNUMBER(SEARCH(","&amp;Verpleegkundigen!$C$2:$C$100&amp;",",","&amp;LOWER(SUBSTITUTE(SUBSTITUTE($H7," ",""),CHAR(160),""))&amp;","))*(Verpleegkundigen!$C$2:$C$100&lt;&gt;LOWER(SUBSTITUTE(SUBSTITUTE($I7," ",""),CHAR(160),""))),Verpleegkundigen!$B$2:$B$100)+IF($I7&lt;&gt;"",1,0))</f>
        <v/>
      </c>
      <c r="E7" s="7" t="str">
        <f>IF(AND(C7&lt;&gt;"",D7&lt;&gt;"",C7&gt;D7),"+" &amp; TEXT(C7-D7,"0"),"")</f>
        <v/>
      </c>
      <c r="F7" s="8" t="s">
        <v>19</v>
      </c>
      <c r="G7" s="7">
        <f>IF($H7="",3,LEN($H7)-LEN(SUBSTITUTE($H7,",",""))+1)</f>
        <v>3</v>
      </c>
      <c r="H7" s="7"/>
      <c r="I7" s="7"/>
    </row>
    <row r="8" spans="1:9" x14ac:dyDescent="0.25">
      <c r="A8" s="3" t="s">
        <v>20</v>
      </c>
      <c r="B8" s="4"/>
      <c r="C8" s="4"/>
      <c r="D8" s="4"/>
      <c r="E8" s="4"/>
      <c r="F8" s="4"/>
      <c r="G8" s="5"/>
      <c r="H8" s="4"/>
      <c r="I8" s="4"/>
    </row>
    <row r="9" spans="1:9" x14ac:dyDescent="0.25">
      <c r="A9" s="6">
        <v>45971</v>
      </c>
      <c r="B9" s="7" t="s">
        <v>10</v>
      </c>
      <c r="C9" s="7">
        <v>26</v>
      </c>
      <c r="D9" s="7" t="str">
        <f>IF(AND($H9="",$I9=""),"",SUMPRODUCT(--ISNUMBER(SEARCH(","&amp;Verpleegkundigen!$C$2:$C$100&amp;",",","&amp;LOWER(SUBSTITUTE(SUBSTITUTE($H9," ",""),CHAR(160),""))&amp;","))*(Verpleegkundigen!$C$2:$C$100&lt;&gt;LOWER(SUBSTITUTE(SUBSTITUTE($I9," ",""),CHAR(160),""))),Verpleegkundigen!$B$2:$B$100)+IF($I9&lt;&gt;"",1,0))</f>
        <v/>
      </c>
      <c r="E9" s="7" t="str">
        <f>IF(AND(C9&lt;&gt;"",D9&lt;&gt;"",C9&gt;D9),"+" &amp; TEXT(C9-D9,"0"),"")</f>
        <v/>
      </c>
      <c r="F9" s="8" t="s">
        <v>21</v>
      </c>
      <c r="G9" s="7">
        <f>IF($H9="",3,LEN($H9)-LEN(SUBSTITUTE($H9,",",""))+1)</f>
        <v>3</v>
      </c>
      <c r="H9" s="7"/>
      <c r="I9" s="7"/>
    </row>
    <row r="10" spans="1:9" x14ac:dyDescent="0.25">
      <c r="A10" s="9">
        <v>45972</v>
      </c>
      <c r="B10" s="10" t="s">
        <v>12</v>
      </c>
      <c r="C10" s="10">
        <v>32</v>
      </c>
      <c r="D10" s="10" t="str">
        <f>IF(AND($H10="",$I10=""),"",SUMPRODUCT(--ISNUMBER(SEARCH(","&amp;Verpleegkundigen!$C$2:$C$100&amp;",",","&amp;LOWER(SUBSTITUTE(SUBSTITUTE($H10," ",""),CHAR(160),""))&amp;","))*(Verpleegkundigen!$C$2:$C$100&lt;&gt;LOWER(SUBSTITUTE(SUBSTITUTE($I10," ",""),CHAR(160),""))),Verpleegkundigen!$B$2:$B$100)+IF($I10&lt;&gt;"",1,0))</f>
        <v/>
      </c>
      <c r="E10" s="10" t="str">
        <f>IF(AND(C10&lt;&gt;"",D10&lt;&gt;"",C10&gt;D10),"+" &amp; TEXT(C10-D10,"0"),"")</f>
        <v/>
      </c>
      <c r="F10" s="4"/>
      <c r="G10" s="7">
        <f>IF($H10="",4,LEN($H10)-LEN(SUBSTITUTE($H10,",",""))+1)</f>
        <v>4</v>
      </c>
      <c r="H10" s="10"/>
      <c r="I10" s="10"/>
    </row>
    <row r="11" spans="1:9" x14ac:dyDescent="0.25">
      <c r="A11" s="6">
        <v>45973</v>
      </c>
      <c r="B11" s="7" t="s">
        <v>14</v>
      </c>
      <c r="C11" s="7">
        <v>24</v>
      </c>
      <c r="D11" s="7" t="str">
        <f>IF(AND($H11="",$I11=""),"",SUMPRODUCT(--ISNUMBER(SEARCH(","&amp;Verpleegkundigen!$C$2:$C$100&amp;",",","&amp;LOWER(SUBSTITUTE(SUBSTITUTE($H11," ",""),CHAR(160),""))&amp;","))*(Verpleegkundigen!$C$2:$C$100&lt;&gt;LOWER(SUBSTITUTE(SUBSTITUTE($I11," ",""),CHAR(160),""))),Verpleegkundigen!$B$2:$B$100)+IF($I11&lt;&gt;"",1,0))</f>
        <v/>
      </c>
      <c r="E11" s="7" t="str">
        <f>IF(AND(C11&lt;&gt;"",D11&lt;&gt;"",C11&gt;D11),"+" &amp; TEXT(C11-D11,"0"),"")</f>
        <v/>
      </c>
      <c r="F11" s="8" t="s">
        <v>22</v>
      </c>
      <c r="G11" s="7">
        <f>IF($H11="",3,LEN($H11)-LEN(SUBSTITUTE($H11,",",""))+1)</f>
        <v>3</v>
      </c>
      <c r="H11" s="7"/>
      <c r="I11" s="7"/>
    </row>
    <row r="12" spans="1:9" x14ac:dyDescent="0.25">
      <c r="A12" s="9">
        <v>45974</v>
      </c>
      <c r="B12" s="10" t="s">
        <v>16</v>
      </c>
      <c r="C12" s="10">
        <v>30</v>
      </c>
      <c r="D12" s="10" t="str">
        <f>IF(AND($H12="",$I12=""),"",SUMPRODUCT(--ISNUMBER(SEARCH(","&amp;Verpleegkundigen!$C$2:$C$100&amp;",",","&amp;LOWER(SUBSTITUTE(SUBSTITUTE($H12," ",""),CHAR(160),""))&amp;","))*(Verpleegkundigen!$C$2:$C$100&lt;&gt;LOWER(SUBSTITUTE(SUBSTITUTE($I12," ",""),CHAR(160),""))),Verpleegkundigen!$B$2:$B$100)+IF($I12&lt;&gt;"",1,0))</f>
        <v/>
      </c>
      <c r="E12" s="10" t="str">
        <f>IF(AND(C12&lt;&gt;"",D12&lt;&gt;"",C12&gt;D12),"+" &amp; TEXT(C12-D12,"0"),"")</f>
        <v/>
      </c>
      <c r="F12" s="4" t="s">
        <v>23</v>
      </c>
      <c r="G12" s="7">
        <f>IF($H12="",4,LEN($H12)-LEN(SUBSTITUTE($H12,",",""))+1)</f>
        <v>4</v>
      </c>
      <c r="H12" s="10"/>
      <c r="I12" s="10"/>
    </row>
    <row r="13" spans="1:9" x14ac:dyDescent="0.25">
      <c r="A13" s="6">
        <v>45975</v>
      </c>
      <c r="B13" s="7" t="s">
        <v>18</v>
      </c>
      <c r="C13" s="7">
        <v>25</v>
      </c>
      <c r="D13" s="7" t="str">
        <f>IF(AND($H13="",$I13=""),"",SUMPRODUCT(--ISNUMBER(SEARCH(","&amp;Verpleegkundigen!$C$2:$C$100&amp;",",","&amp;LOWER(SUBSTITUTE(SUBSTITUTE($H13," ",""),CHAR(160),""))&amp;","))*(Verpleegkundigen!$C$2:$C$100&lt;&gt;LOWER(SUBSTITUTE(SUBSTITUTE($I13," ",""),CHAR(160),""))),Verpleegkundigen!$B$2:$B$100)+IF($I13&lt;&gt;"",1,0))</f>
        <v/>
      </c>
      <c r="E13" s="7" t="str">
        <f>IF(AND(C13&lt;&gt;"",D13&lt;&gt;"",C13&gt;D13),"+" &amp; TEXT(C13-D13,"0"),"")</f>
        <v/>
      </c>
      <c r="F13" s="8" t="s">
        <v>24</v>
      </c>
      <c r="G13" s="7">
        <f>IF($H13="",3,LEN($H13)-LEN(SUBSTITUTE($H13,",",""))+1)</f>
        <v>3</v>
      </c>
      <c r="H13" s="7"/>
      <c r="I13" s="7"/>
    </row>
    <row r="14" spans="1:9" x14ac:dyDescent="0.25">
      <c r="A14" s="3" t="s">
        <v>25</v>
      </c>
      <c r="B14" s="4"/>
      <c r="C14" s="4"/>
      <c r="D14" s="4"/>
      <c r="E14" s="4"/>
      <c r="F14" s="4"/>
      <c r="G14" s="5"/>
      <c r="H14" s="4"/>
      <c r="I14" s="4"/>
    </row>
    <row r="15" spans="1:9" x14ac:dyDescent="0.25">
      <c r="A15" s="6">
        <v>45978</v>
      </c>
      <c r="B15" s="7" t="s">
        <v>10</v>
      </c>
      <c r="C15" s="7">
        <v>33</v>
      </c>
      <c r="D15" s="7" t="str">
        <f>IF(AND($H15="",$I15=""),"",SUMPRODUCT(--ISNUMBER(SEARCH(","&amp;Verpleegkundigen!$C$2:$C$100&amp;",",","&amp;LOWER(SUBSTITUTE(SUBSTITUTE($H15," ",""),CHAR(160),""))&amp;","))*(Verpleegkundigen!$C$2:$C$100&lt;&gt;LOWER(SUBSTITUTE(SUBSTITUTE($I15," ",""),CHAR(160),""))),Verpleegkundigen!$B$2:$B$100)+IF($I15&lt;&gt;"",1,0))</f>
        <v/>
      </c>
      <c r="E15" s="7" t="str">
        <f>IF(AND(C15&lt;&gt;"",D15&lt;&gt;"",C15&gt;D15),"+" &amp; TEXT(C15-D15,"0"),"")</f>
        <v/>
      </c>
      <c r="F15" s="8" t="s">
        <v>26</v>
      </c>
      <c r="G15" s="7">
        <f>IF($H15="",4,LEN($H15)-LEN(SUBSTITUTE($H15,",",""))+1)</f>
        <v>4</v>
      </c>
      <c r="H15" s="7"/>
      <c r="I15" s="7"/>
    </row>
    <row r="16" spans="1:9" x14ac:dyDescent="0.25">
      <c r="A16" s="9">
        <v>45979</v>
      </c>
      <c r="B16" s="10" t="s">
        <v>12</v>
      </c>
      <c r="C16" s="10">
        <v>30</v>
      </c>
      <c r="D16" s="10" t="str">
        <f>IF(AND($H16="",$I16=""),"",SUMPRODUCT(--ISNUMBER(SEARCH(","&amp;Verpleegkundigen!$C$2:$C$100&amp;",",","&amp;LOWER(SUBSTITUTE(SUBSTITUTE($H16," ",""),CHAR(160),""))&amp;","))*(Verpleegkundigen!$C$2:$C$100&lt;&gt;LOWER(SUBSTITUTE(SUBSTITUTE($I16," ",""),CHAR(160),""))),Verpleegkundigen!$B$2:$B$100)+IF($I16&lt;&gt;"",1,0))</f>
        <v/>
      </c>
      <c r="E16" s="10" t="str">
        <f>IF(AND(C16&lt;&gt;"",D16&lt;&gt;"",C16&gt;D16),"+" &amp; TEXT(C16-D16,"0"),"")</f>
        <v/>
      </c>
      <c r="F16" s="4" t="s">
        <v>27</v>
      </c>
      <c r="G16" s="7">
        <f>IF($H16="",4,LEN($H16)-LEN(SUBSTITUTE($H16,",",""))+1)</f>
        <v>4</v>
      </c>
      <c r="H16" s="10"/>
      <c r="I16" s="10"/>
    </row>
    <row r="17" spans="1:9" x14ac:dyDescent="0.25">
      <c r="A17" s="6">
        <v>45980</v>
      </c>
      <c r="B17" s="7" t="s">
        <v>14</v>
      </c>
      <c r="C17" s="7">
        <v>24</v>
      </c>
      <c r="D17" s="7" t="str">
        <f>IF(AND($H17="",$I17=""),"",SUMPRODUCT(--ISNUMBER(SEARCH(","&amp;Verpleegkundigen!$C$2:$C$100&amp;",",","&amp;LOWER(SUBSTITUTE(SUBSTITUTE($H17," ",""),CHAR(160),""))&amp;","))*(Verpleegkundigen!$C$2:$C$100&lt;&gt;LOWER(SUBSTITUTE(SUBSTITUTE($I17," ",""),CHAR(160),""))),Verpleegkundigen!$B$2:$B$100)+IF($I17&lt;&gt;"",1,0))</f>
        <v/>
      </c>
      <c r="E17" s="7" t="str">
        <f>IF(AND(C17&lt;&gt;"",D17&lt;&gt;"",C17&gt;D17),"+" &amp; TEXT(C17-D17,"0"),"")</f>
        <v/>
      </c>
      <c r="F17" s="8" t="s">
        <v>28</v>
      </c>
      <c r="G17" s="7">
        <f>IF($H17="",3,LEN($H17)-LEN(SUBSTITUTE($H17,",",""))+1)</f>
        <v>3</v>
      </c>
      <c r="H17" s="7"/>
      <c r="I17" s="7"/>
    </row>
    <row r="18" spans="1:9" x14ac:dyDescent="0.25">
      <c r="A18" s="9">
        <v>45981</v>
      </c>
      <c r="B18" s="10" t="s">
        <v>16</v>
      </c>
      <c r="C18" s="10">
        <v>29</v>
      </c>
      <c r="D18" s="10" t="str">
        <f>IF(AND($H18="",$I18=""),"",SUMPRODUCT(--ISNUMBER(SEARCH(","&amp;Verpleegkundigen!$C$2:$C$100&amp;",",","&amp;LOWER(SUBSTITUTE(SUBSTITUTE($H18," ",""),CHAR(160),""))&amp;","))*(Verpleegkundigen!$C$2:$C$100&lt;&gt;LOWER(SUBSTITUTE(SUBSTITUTE($I18," ",""),CHAR(160),""))),Verpleegkundigen!$B$2:$B$100)+IF($I18&lt;&gt;"",1,0))</f>
        <v/>
      </c>
      <c r="E18" s="10" t="str">
        <f>IF(AND(C18&lt;&gt;"",D18&lt;&gt;"",C18&gt;D18),"+" &amp; TEXT(C18-D18,"0"),"")</f>
        <v/>
      </c>
      <c r="F18" s="4" t="s">
        <v>29</v>
      </c>
      <c r="G18" s="7">
        <f>IF($H18="",4,LEN($H18)-LEN(SUBSTITUTE($H18,",",""))+1)</f>
        <v>4</v>
      </c>
      <c r="H18" s="10"/>
      <c r="I18" s="10"/>
    </row>
    <row r="19" spans="1:9" x14ac:dyDescent="0.25">
      <c r="A19" s="6">
        <v>45982</v>
      </c>
      <c r="B19" s="7" t="s">
        <v>18</v>
      </c>
      <c r="C19" s="7">
        <v>25</v>
      </c>
      <c r="D19" s="7" t="str">
        <f>IF(AND($H19="",$I19=""),"",SUMPRODUCT(--ISNUMBER(SEARCH(","&amp;Verpleegkundigen!$C$2:$C$100&amp;",",","&amp;LOWER(SUBSTITUTE(SUBSTITUTE($H19," ",""),CHAR(160),""))&amp;","))*(Verpleegkundigen!$C$2:$C$100&lt;&gt;LOWER(SUBSTITUTE(SUBSTITUTE($I19," ",""),CHAR(160),""))),Verpleegkundigen!$B$2:$B$100)+IF($I19&lt;&gt;"",1,0))</f>
        <v/>
      </c>
      <c r="E19" s="7" t="str">
        <f>IF(AND(C19&lt;&gt;"",D19&lt;&gt;"",C19&gt;D19),"+" &amp; TEXT(C19-D19,"0"),"")</f>
        <v/>
      </c>
      <c r="F19" s="8" t="s">
        <v>30</v>
      </c>
      <c r="G19" s="7">
        <f>IF($H19="",3,LEN($H19)-LEN(SUBSTITUTE($H19,",",""))+1)</f>
        <v>3</v>
      </c>
      <c r="H19" s="7"/>
      <c r="I19" s="7"/>
    </row>
    <row r="20" spans="1:9" x14ac:dyDescent="0.25">
      <c r="A20" s="3" t="s">
        <v>31</v>
      </c>
      <c r="B20" s="4"/>
      <c r="C20" s="4"/>
      <c r="D20" s="4"/>
      <c r="E20" s="4"/>
      <c r="F20" s="4"/>
      <c r="G20" s="5"/>
      <c r="H20" s="4"/>
      <c r="I20" s="4"/>
    </row>
    <row r="21" spans="1:9" x14ac:dyDescent="0.25">
      <c r="A21" s="6">
        <v>45985</v>
      </c>
      <c r="B21" s="7" t="s">
        <v>10</v>
      </c>
      <c r="C21" s="7">
        <v>31</v>
      </c>
      <c r="D21" s="7" t="str">
        <f>IF(AND($H21="",$I21=""),"",SUMPRODUCT(--ISNUMBER(SEARCH(","&amp;Verpleegkundigen!$C$2:$C$100&amp;",",","&amp;LOWER(SUBSTITUTE(SUBSTITUTE($H21," ",""),CHAR(160),""))&amp;","))*(Verpleegkundigen!$C$2:$C$100&lt;&gt;LOWER(SUBSTITUTE(SUBSTITUTE($I21," ",""),CHAR(160),""))),Verpleegkundigen!$B$2:$B$100)+IF($I21&lt;&gt;"",1,0))</f>
        <v/>
      </c>
      <c r="E21" s="7" t="str">
        <f>IF(AND(C21&lt;&gt;"",D21&lt;&gt;"",C21&gt;D21),"+" &amp; TEXT(C21-D21,"0"),"")</f>
        <v/>
      </c>
      <c r="F21" s="8" t="s">
        <v>32</v>
      </c>
      <c r="G21" s="7">
        <f>IF($H21="",4,LEN($H21)-LEN(SUBSTITUTE($H21,",",""))+1)</f>
        <v>4</v>
      </c>
      <c r="H21" s="7"/>
      <c r="I21" s="7"/>
    </row>
    <row r="22" spans="1:9" x14ac:dyDescent="0.25">
      <c r="A22" s="9">
        <v>45986</v>
      </c>
      <c r="B22" s="10" t="s">
        <v>12</v>
      </c>
      <c r="C22" s="10">
        <v>24</v>
      </c>
      <c r="D22" s="10" t="str">
        <f>IF(AND($H22="",$I22=""),"",SUMPRODUCT(--ISNUMBER(SEARCH(","&amp;Verpleegkundigen!$C$2:$C$100&amp;",",","&amp;LOWER(SUBSTITUTE(SUBSTITUTE($H22," ",""),CHAR(160),""))&amp;","))*(Verpleegkundigen!$C$2:$C$100&lt;&gt;LOWER(SUBSTITUTE(SUBSTITUTE($I22," ",""),CHAR(160),""))),Verpleegkundigen!$B$2:$B$100)+IF($I22&lt;&gt;"",1,0))</f>
        <v/>
      </c>
      <c r="E22" s="10" t="str">
        <f>IF(AND(C22&lt;&gt;"",D22&lt;&gt;"",C22&gt;D22),"+" &amp; TEXT(C22-D22,"0"),"")</f>
        <v/>
      </c>
      <c r="F22" s="4" t="s">
        <v>33</v>
      </c>
      <c r="G22" s="7">
        <f>IF($H22="",3,LEN($H22)-LEN(SUBSTITUTE($H22,",",""))+1)</f>
        <v>3</v>
      </c>
      <c r="H22" s="10"/>
      <c r="I22" s="10"/>
    </row>
    <row r="23" spans="1:9" x14ac:dyDescent="0.25">
      <c r="A23" s="6">
        <v>45987</v>
      </c>
      <c r="B23" s="7" t="s">
        <v>14</v>
      </c>
      <c r="C23" s="7">
        <v>31</v>
      </c>
      <c r="D23" s="7" t="str">
        <f>IF(AND($H23="",$I23=""),"",SUMPRODUCT(--ISNUMBER(SEARCH(","&amp;Verpleegkundigen!$C$2:$C$100&amp;",",","&amp;LOWER(SUBSTITUTE(SUBSTITUTE($H23," ",""),CHAR(160),""))&amp;","))*(Verpleegkundigen!$C$2:$C$100&lt;&gt;LOWER(SUBSTITUTE(SUBSTITUTE($I23," ",""),CHAR(160),""))),Verpleegkundigen!$B$2:$B$100)+IF($I23&lt;&gt;"",1,0))</f>
        <v/>
      </c>
      <c r="E23" s="7" t="str">
        <f>IF(AND(C23&lt;&gt;"",D23&lt;&gt;"",C23&gt;D23),"+" &amp; TEXT(C23-D23,"0"),"")</f>
        <v/>
      </c>
      <c r="F23" s="8" t="s">
        <v>32</v>
      </c>
      <c r="G23" s="7">
        <f>IF($H23="",4,LEN($H23)-LEN(SUBSTITUTE($H23,",",""))+1)</f>
        <v>4</v>
      </c>
      <c r="H23" s="7"/>
      <c r="I23" s="7"/>
    </row>
    <row r="24" spans="1:9" x14ac:dyDescent="0.25">
      <c r="A24" s="9">
        <v>45988</v>
      </c>
      <c r="B24" s="10" t="s">
        <v>16</v>
      </c>
      <c r="C24" s="10">
        <v>30</v>
      </c>
      <c r="D24" s="10" t="str">
        <f>IF(AND($H24="",$I24=""),"",SUMPRODUCT(--ISNUMBER(SEARCH(","&amp;Verpleegkundigen!$C$2:$C$100&amp;",",","&amp;LOWER(SUBSTITUTE(SUBSTITUTE($H24," ",""),CHAR(160),""))&amp;","))*(Verpleegkundigen!$C$2:$C$100&lt;&gt;LOWER(SUBSTITUTE(SUBSTITUTE($I24," ",""),CHAR(160),""))),Verpleegkundigen!$B$2:$B$100)+IF($I24&lt;&gt;"",1,0))</f>
        <v/>
      </c>
      <c r="E24" s="10" t="str">
        <f>IF(AND(C24&lt;&gt;"",D24&lt;&gt;"",C24&gt;D24),"+" &amp; TEXT(C24-D24,"0"),"")</f>
        <v/>
      </c>
      <c r="F24" s="4" t="s">
        <v>34</v>
      </c>
      <c r="G24" s="7">
        <f>IF($H24="",4,LEN($H24)-LEN(SUBSTITUTE($H24,",",""))+1)</f>
        <v>4</v>
      </c>
      <c r="H24" s="10"/>
      <c r="I24" s="10"/>
    </row>
    <row r="25" spans="1:9" x14ac:dyDescent="0.25">
      <c r="A25" s="6">
        <v>45989</v>
      </c>
      <c r="B25" s="7" t="s">
        <v>18</v>
      </c>
      <c r="C25" s="7">
        <v>18</v>
      </c>
      <c r="D25" s="7">
        <v>17</v>
      </c>
      <c r="E25" s="7" t="str">
        <f>IF(AND(C25&lt;&gt;"",D25&lt;&gt;"",C25&gt;D25),"+" &amp; TEXT(C25-D25,"0"),"")</f>
        <v>+1</v>
      </c>
      <c r="F25" s="8" t="s">
        <v>35</v>
      </c>
      <c r="G25" s="7">
        <f>IF($H25="",3,LEN($H25)-LEN(SUBSTITUTE($H25,",",""))+1)</f>
        <v>3</v>
      </c>
      <c r="H25" s="7" t="s">
        <v>142</v>
      </c>
      <c r="I25" s="7" t="s">
        <v>111</v>
      </c>
    </row>
  </sheetData>
  <conditionalFormatting sqref="C2:C25">
    <cfRule type="expression" dxfId="161" priority="1">
      <formula>AND(ISNUMBER($C2),ISNUMBER($D2),$D2&gt;0,$C2&lt;0.8*$D2)</formula>
    </cfRule>
    <cfRule type="expression" dxfId="160" priority="2">
      <formula>AND(ISNUMBER($C2),ISNUMBER($D2),$D2&gt;0,$C2&gt;=0.8*$D2,$C2&lt;$D2)</formula>
    </cfRule>
    <cfRule type="expression" dxfId="159" priority="3">
      <formula>AND(ISNUMBER($C2),ISNUMBER($D2),$D2&gt;0,$C2&gt;=$D2)</formula>
    </cfRule>
  </conditionalFormatting>
  <conditionalFormatting sqref="G2:G25">
    <cfRule type="expression" dxfId="158" priority="4">
      <formula>$G2=2</formula>
    </cfRule>
    <cfRule type="expression" dxfId="157" priority="5">
      <formula>OR($G2=3,$G2=4)</formula>
    </cfRule>
    <cfRule type="expression" dxfId="156" priority="6">
      <formula>$G2&gt;=5</formula>
    </cfRule>
    <cfRule type="expression" dxfId="155" priority="7">
      <formula>$G2=2</formula>
    </cfRule>
    <cfRule type="expression" dxfId="154" priority="8">
      <formula>OR($G2=3,$G2=4)</formula>
    </cfRule>
    <cfRule type="expression" dxfId="153" priority="9">
      <formula>$G2&gt;=5</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zoomScale="90" zoomScaleNormal="90" workbookViewId="0">
      <selection activeCell="F22" sqref="F22"/>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3.42578125" customWidth="1"/>
    <col min="6" max="6" width="17.5703125" customWidth="1"/>
    <col min="7" max="7" width="14.7109375" customWidth="1"/>
    <col min="8" max="8" width="71.5703125" bestFit="1" customWidth="1"/>
    <col min="9" max="9" width="10.7109375" customWidth="1"/>
    <col min="10" max="10" width="35.140625" customWidth="1"/>
    <col min="11" max="11" width="14.7109375" customWidth="1"/>
    <col min="12" max="12" width="55.28515625" customWidth="1"/>
  </cols>
  <sheetData>
    <row r="1" spans="1:12" x14ac:dyDescent="0.25">
      <c r="A1" s="1" t="s">
        <v>0</v>
      </c>
      <c r="B1" s="1" t="s">
        <v>1</v>
      </c>
      <c r="C1" s="1" t="s">
        <v>2</v>
      </c>
      <c r="D1" s="1" t="s">
        <v>145</v>
      </c>
      <c r="E1" s="88"/>
      <c r="F1" s="1" t="s">
        <v>146</v>
      </c>
      <c r="G1" s="1" t="s">
        <v>4</v>
      </c>
      <c r="H1" s="1" t="s">
        <v>5</v>
      </c>
      <c r="I1" s="1" t="s">
        <v>6</v>
      </c>
      <c r="J1" s="1" t="s">
        <v>7</v>
      </c>
      <c r="K1" s="1" t="s">
        <v>8</v>
      </c>
      <c r="L1" s="21" t="s">
        <v>144</v>
      </c>
    </row>
    <row r="2" spans="1:12" x14ac:dyDescent="0.25">
      <c r="A2" s="3" t="s">
        <v>36</v>
      </c>
      <c r="B2" s="4"/>
      <c r="C2" s="4"/>
      <c r="D2" s="4"/>
      <c r="E2" s="45"/>
      <c r="F2" s="87"/>
      <c r="G2" s="4"/>
      <c r="H2" s="4"/>
      <c r="I2" s="29"/>
      <c r="J2" s="4"/>
      <c r="K2" s="24"/>
      <c r="L2" s="20"/>
    </row>
    <row r="3" spans="1:12" x14ac:dyDescent="0.25">
      <c r="A3" s="43">
        <v>45992</v>
      </c>
      <c r="B3" s="13" t="s">
        <v>10</v>
      </c>
      <c r="C3" s="13">
        <v>30</v>
      </c>
      <c r="D3" s="13">
        <v>30</v>
      </c>
      <c r="E3" s="75">
        <f>IF(F3&gt;D3,1,IF(F3=D3,0,-1))</f>
        <v>0</v>
      </c>
      <c r="F3" s="53">
        <v>30</v>
      </c>
      <c r="G3" s="13" t="str">
        <f>IF(AND(C3&lt;&gt;"",D3&lt;&gt;"",C3&gt;D3),"+" &amp; TEXT(C3-D3,"0"),"")</f>
        <v/>
      </c>
      <c r="H3" s="30" t="s">
        <v>37</v>
      </c>
      <c r="I3" s="13">
        <f>IF($J3="",4,LEN($J3)-LEN(SUBSTITUTE($J3,",",""))+1)</f>
        <v>4</v>
      </c>
      <c r="J3" s="13" t="s">
        <v>107</v>
      </c>
      <c r="K3" s="31" t="s">
        <v>128</v>
      </c>
      <c r="L3" s="54"/>
    </row>
    <row r="4" spans="1:12" x14ac:dyDescent="0.25">
      <c r="A4" s="9">
        <v>45993</v>
      </c>
      <c r="B4" s="10" t="s">
        <v>12</v>
      </c>
      <c r="C4" s="10">
        <v>29</v>
      </c>
      <c r="D4" s="10">
        <v>29</v>
      </c>
      <c r="E4" s="76">
        <f>IF(F4&gt;D4,1,IF(F4=D4,0,-1))</f>
        <v>1</v>
      </c>
      <c r="F4" s="79">
        <v>31</v>
      </c>
      <c r="G4" s="10" t="str">
        <f>IF(AND(C4&lt;&gt;"",D4&lt;&gt;"",C4&gt;D4),"+" &amp; TEXT(C4-D4,"0"),"")</f>
        <v/>
      </c>
      <c r="H4" s="4" t="s">
        <v>38</v>
      </c>
      <c r="I4" s="7">
        <f>IF($J4="",4,LEN($J4)-LEN(SUBSTITUTE($J4,",",""))+1)</f>
        <v>4</v>
      </c>
      <c r="J4" s="10" t="s">
        <v>112</v>
      </c>
      <c r="K4" s="23" t="s">
        <v>114</v>
      </c>
      <c r="L4" s="25"/>
    </row>
    <row r="5" spans="1:12" x14ac:dyDescent="0.25">
      <c r="A5" s="43">
        <v>45994</v>
      </c>
      <c r="B5" s="13" t="s">
        <v>14</v>
      </c>
      <c r="C5" s="13">
        <v>22</v>
      </c>
      <c r="D5" s="13">
        <v>20</v>
      </c>
      <c r="E5" s="77">
        <f>IF(F5&gt;D5,1,IF(F5=D5,0,-1))</f>
        <v>0</v>
      </c>
      <c r="F5" s="53">
        <v>20</v>
      </c>
      <c r="G5" s="13" t="str">
        <f>IF(AND(C5&lt;&gt;"",D5&lt;&gt;"",C5&gt;D5),"+" &amp; TEXT(C5-D5,"0"),"")</f>
        <v>+2</v>
      </c>
      <c r="H5" s="30" t="s">
        <v>39</v>
      </c>
      <c r="I5" s="13">
        <f>IF($J5="",3,LEN($J5)-LEN(SUBSTITUTE($J5,",",""))+1)</f>
        <v>3</v>
      </c>
      <c r="J5" s="13" t="s">
        <v>113</v>
      </c>
      <c r="K5" s="31" t="s">
        <v>109</v>
      </c>
      <c r="L5" s="54"/>
    </row>
    <row r="6" spans="1:12" x14ac:dyDescent="0.25">
      <c r="A6" s="9">
        <v>45995</v>
      </c>
      <c r="B6" s="10" t="s">
        <v>16</v>
      </c>
      <c r="C6" s="10">
        <v>32</v>
      </c>
      <c r="D6" s="10">
        <v>32</v>
      </c>
      <c r="E6" s="68">
        <f>IF(F6&gt;D6,1,IF(F6=D6,0,-1))</f>
        <v>1</v>
      </c>
      <c r="F6" s="47">
        <v>33</v>
      </c>
      <c r="G6" s="10" t="str">
        <f>IF(AND(C6&lt;&gt;"",D6&lt;&gt;"",C6&gt;D6),"+" &amp; TEXT(C6-D6,"0"),"")</f>
        <v/>
      </c>
      <c r="H6" s="4" t="s">
        <v>40</v>
      </c>
      <c r="I6" s="7">
        <f>IF($J6="",4,LEN($J6)-LEN(SUBSTITUTE($J6,",",""))+1)</f>
        <v>5</v>
      </c>
      <c r="J6" s="10" t="s">
        <v>115</v>
      </c>
      <c r="K6" s="23" t="s">
        <v>128</v>
      </c>
      <c r="L6" s="26"/>
    </row>
    <row r="7" spans="1:12" x14ac:dyDescent="0.25">
      <c r="A7" s="43">
        <v>45996</v>
      </c>
      <c r="B7" s="13" t="s">
        <v>18</v>
      </c>
      <c r="C7" s="13">
        <v>24</v>
      </c>
      <c r="D7" s="13">
        <v>21</v>
      </c>
      <c r="E7" s="77">
        <f>IF(F7&gt;D7,1,IF(F7=D7,0,-1))</f>
        <v>0</v>
      </c>
      <c r="F7" s="53">
        <v>21</v>
      </c>
      <c r="G7" s="13" t="str">
        <f>IF(AND(C7&lt;&gt;"",D7&lt;&gt;"",C7&gt;D7),"+" &amp; TEXT(C7-D7,"0"),"")</f>
        <v>+3</v>
      </c>
      <c r="H7" s="30" t="s">
        <v>149</v>
      </c>
      <c r="I7" s="13">
        <f>IF($J7="",3,LEN($J7)-LEN(SUBSTITUTE($J7,",",""))+1)</f>
        <v>3</v>
      </c>
      <c r="J7" s="13" t="s">
        <v>116</v>
      </c>
      <c r="K7" s="31" t="s">
        <v>117</v>
      </c>
      <c r="L7" s="32"/>
    </row>
    <row r="8" spans="1:12" x14ac:dyDescent="0.25">
      <c r="A8" s="3" t="s">
        <v>41</v>
      </c>
      <c r="B8" s="4"/>
      <c r="C8" s="4"/>
      <c r="D8" s="15"/>
      <c r="E8" s="78"/>
      <c r="F8" s="79" t="str">
        <f>IF(AND($J8="",$K8=""),"",SUMPRODUCT(--ISNUMBER(SEARCH(","&amp;Verpleegkundigen!$C$2:$C$100&amp;",",","&amp;LOWER(SUBSTITUTE(SUBSTITUTE($J8," ",""),CHAR(160),""))&amp;","))*(Verpleegkundigen!$C$2:$C$100&lt;&gt;LOWER(SUBSTITUTE(SUBSTITUTE($K8," ",""),CHAR(160),""))),Verpleegkundigen!$B$2:$B$100)+IF($K8&lt;&gt;"",1,0))</f>
        <v/>
      </c>
      <c r="G8" s="4"/>
      <c r="H8" s="4"/>
      <c r="I8" s="29"/>
      <c r="J8" s="4"/>
      <c r="K8" s="24"/>
      <c r="L8" s="27"/>
    </row>
    <row r="9" spans="1:12" s="42" customFormat="1" x14ac:dyDescent="0.25">
      <c r="A9" s="43">
        <v>45999</v>
      </c>
      <c r="B9" s="13" t="s">
        <v>10</v>
      </c>
      <c r="C9" s="13">
        <v>30</v>
      </c>
      <c r="D9" s="13">
        <v>29</v>
      </c>
      <c r="E9" s="75">
        <f>IF(F9&gt;D9,1,IF(F9=D9,0,-1))</f>
        <v>1</v>
      </c>
      <c r="F9" s="53">
        <v>31</v>
      </c>
      <c r="G9" s="13" t="str">
        <f>IF(AND(C9&lt;&gt;"",D9&lt;&gt;"",C9&gt;D9),"+" &amp; TEXT(C9-D9,"0"),"")</f>
        <v>+1</v>
      </c>
      <c r="H9" s="30" t="s">
        <v>131</v>
      </c>
      <c r="I9" s="13">
        <f>IF($J9="",4,LEN($J9)-LEN(SUBSTITUTE($J9,",",""))+1)</f>
        <v>4</v>
      </c>
      <c r="J9" s="13" t="s">
        <v>112</v>
      </c>
      <c r="K9" s="31" t="s">
        <v>128</v>
      </c>
      <c r="L9" s="32"/>
    </row>
    <row r="10" spans="1:12" s="28" customFormat="1" x14ac:dyDescent="0.25">
      <c r="A10" s="49">
        <v>46000</v>
      </c>
      <c r="B10" s="12" t="s">
        <v>12</v>
      </c>
      <c r="C10" s="12">
        <v>37</v>
      </c>
      <c r="D10" s="12">
        <v>37</v>
      </c>
      <c r="E10" s="76">
        <f>IF(F10&gt;D10,1,IF(F10=D10,0,-1))</f>
        <v>-1</v>
      </c>
      <c r="F10" s="79">
        <v>30</v>
      </c>
      <c r="G10" s="12" t="str">
        <f>IF(AND(C10&lt;&gt;"",D10&lt;&gt;"",C10&gt;D10),"+" &amp; TEXT(C10-D10,"0"),"")</f>
        <v/>
      </c>
      <c r="H10" s="94"/>
      <c r="I10" s="12">
        <f>IF($J10="",4,LEN($J10)-LEN(SUBSTITUTE($J10,",",""))+1)</f>
        <v>4</v>
      </c>
      <c r="J10" s="12" t="s">
        <v>107</v>
      </c>
      <c r="K10" s="50" t="s">
        <v>109</v>
      </c>
      <c r="L10" s="56" t="s">
        <v>185</v>
      </c>
    </row>
    <row r="11" spans="1:12" s="42" customFormat="1" x14ac:dyDescent="0.25">
      <c r="A11" s="43">
        <v>46001</v>
      </c>
      <c r="B11" s="13" t="s">
        <v>14</v>
      </c>
      <c r="C11" s="13">
        <v>29</v>
      </c>
      <c r="D11" s="55">
        <v>29</v>
      </c>
      <c r="E11" s="80">
        <f>IF(F11&gt;D11,1,IF(F11=D11,0,-1))</f>
        <v>-1</v>
      </c>
      <c r="F11" s="81">
        <v>24</v>
      </c>
      <c r="G11" s="13" t="str">
        <f>IF(AND(C11&lt;&gt;"",D11&lt;&gt;"",C11&gt;D11),"+" &amp; TEXT(C11-D11,"0"),"")</f>
        <v/>
      </c>
      <c r="H11" s="30" t="s">
        <v>154</v>
      </c>
      <c r="I11" s="13">
        <f>IF($J11="",3,LEN($J11)-LEN(SUBSTITUTE($J11,",",""))+1)</f>
        <v>4</v>
      </c>
      <c r="J11" s="13" t="s">
        <v>118</v>
      </c>
      <c r="K11" s="55" t="s">
        <v>117</v>
      </c>
      <c r="L11" s="54" t="s">
        <v>186</v>
      </c>
    </row>
    <row r="12" spans="1:12" s="28" customFormat="1" x14ac:dyDescent="0.25">
      <c r="A12" s="49">
        <v>46002</v>
      </c>
      <c r="B12" s="12" t="s">
        <v>16</v>
      </c>
      <c r="C12" s="12">
        <v>28</v>
      </c>
      <c r="D12" s="12">
        <v>29</v>
      </c>
      <c r="E12" s="45">
        <f>IF(F12&gt;D12,1,IF(F12=D12,0,-1))</f>
        <v>1</v>
      </c>
      <c r="F12" s="82">
        <v>30</v>
      </c>
      <c r="G12" s="12" t="str">
        <f>IF(AND(C12&lt;&gt;"",D12&lt;&gt;"",C12&gt;D12),"+" &amp; TEXT(C12-D12,"0"),"")</f>
        <v/>
      </c>
      <c r="H12" s="29" t="s">
        <v>202</v>
      </c>
      <c r="I12" s="12">
        <f>IF($J12="",4,LEN($J12)-LEN(SUBSTITUTE($J12,",",""))+1)</f>
        <v>5</v>
      </c>
      <c r="J12" s="12" t="s">
        <v>119</v>
      </c>
      <c r="K12" s="50" t="s">
        <v>114</v>
      </c>
      <c r="L12" s="56"/>
    </row>
    <row r="13" spans="1:12" s="42" customFormat="1" x14ac:dyDescent="0.25">
      <c r="A13" s="43">
        <v>46003</v>
      </c>
      <c r="B13" s="13" t="s">
        <v>18</v>
      </c>
      <c r="C13" s="13">
        <v>21</v>
      </c>
      <c r="D13" s="13">
        <v>21</v>
      </c>
      <c r="E13" s="75">
        <f>IF(F13&gt;D13,1,IF(F13=D13,0,-1))</f>
        <v>0</v>
      </c>
      <c r="F13" s="53">
        <v>21</v>
      </c>
      <c r="G13" s="13" t="str">
        <f>IF(AND(C13&lt;&gt;"",D13&lt;&gt;"",C13&gt;D13),"+" &amp; TEXT(C13-D13,"0"),"")</f>
        <v/>
      </c>
      <c r="H13" s="30" t="s">
        <v>42</v>
      </c>
      <c r="I13" s="13">
        <f>IF($J13="",3,LEN($J13)-LEN(SUBSTITUTE($J13,",",""))+1)</f>
        <v>4</v>
      </c>
      <c r="J13" s="13" t="s">
        <v>120</v>
      </c>
      <c r="K13" s="31" t="s">
        <v>111</v>
      </c>
      <c r="L13" s="32"/>
    </row>
    <row r="14" spans="1:12" s="28" customFormat="1" x14ac:dyDescent="0.25">
      <c r="A14" s="57" t="s">
        <v>43</v>
      </c>
      <c r="B14" s="29"/>
      <c r="C14" s="29"/>
      <c r="D14" s="29"/>
      <c r="E14" s="83"/>
      <c r="F14" s="79" t="str">
        <f>IF(AND($J14="",$K14=""),"",SUMPRODUCT(--ISNUMBER(SEARCH(","&amp;Verpleegkundigen!$C$2:$C$100&amp;",",","&amp;LOWER(SUBSTITUTE(SUBSTITUTE($J14," ",""),CHAR(160),""))&amp;","))*(Verpleegkundigen!$C$2:$C$100&lt;&gt;LOWER(SUBSTITUTE(SUBSTITUTE($K14," ",""),CHAR(160),""))),Verpleegkundigen!$B$2:$B$100)+IF($K14&lt;&gt;"",1,0))</f>
        <v/>
      </c>
      <c r="G14" s="29"/>
      <c r="H14" s="29"/>
      <c r="I14" s="29"/>
      <c r="J14" s="29"/>
      <c r="K14" s="58"/>
      <c r="L14" s="59"/>
    </row>
    <row r="15" spans="1:12" s="42" customFormat="1" x14ac:dyDescent="0.25">
      <c r="A15" s="43">
        <v>46006</v>
      </c>
      <c r="B15" s="13" t="s">
        <v>10</v>
      </c>
      <c r="C15" s="13">
        <v>41</v>
      </c>
      <c r="D15" s="13">
        <v>41</v>
      </c>
      <c r="E15" s="52">
        <f>IF(F15&gt;D15,1,IF(F15=D15,0,-1))</f>
        <v>-1</v>
      </c>
      <c r="F15" s="53">
        <v>40</v>
      </c>
      <c r="G15" s="13" t="str">
        <f>IF(AND(C15&lt;&gt;"",D15&lt;&gt;"",C15&gt;D15),"+" &amp; TEXT(C15-D15,"0"),"")</f>
        <v/>
      </c>
      <c r="H15" s="30" t="s">
        <v>156</v>
      </c>
      <c r="I15" s="13">
        <f>IF($J15="",4,LEN($J15)-LEN(SUBSTITUTE($J15,",",""))+1)</f>
        <v>5</v>
      </c>
      <c r="J15" s="13" t="s">
        <v>155</v>
      </c>
      <c r="K15" s="31" t="s">
        <v>128</v>
      </c>
      <c r="L15" s="32"/>
    </row>
    <row r="16" spans="1:12" s="28" customFormat="1" x14ac:dyDescent="0.25">
      <c r="A16" s="49">
        <v>46007</v>
      </c>
      <c r="B16" s="12" t="s">
        <v>12</v>
      </c>
      <c r="C16" s="12">
        <v>31</v>
      </c>
      <c r="D16" s="12">
        <v>31</v>
      </c>
      <c r="E16" s="76">
        <f>IF(F16&gt;D16,1,IF(F16=D16,0,-1))</f>
        <v>0</v>
      </c>
      <c r="F16" s="79">
        <v>31</v>
      </c>
      <c r="G16" s="12" t="str">
        <f>IF(AND(C16&lt;&gt;"",D16&lt;&gt;"",C16&gt;D16),"+" &amp; TEXT(C16-D16,"0"),"")</f>
        <v/>
      </c>
      <c r="H16" s="29" t="s">
        <v>158</v>
      </c>
      <c r="I16" s="12">
        <f>IF($J16="",3,LEN($J16)-LEN(SUBSTITUTE($J16,",",""))+1)</f>
        <v>4</v>
      </c>
      <c r="J16" s="12" t="s">
        <v>157</v>
      </c>
      <c r="K16" s="50" t="s">
        <v>109</v>
      </c>
      <c r="L16" s="56"/>
    </row>
    <row r="17" spans="1:14" s="42" customFormat="1" x14ac:dyDescent="0.25">
      <c r="A17" s="43">
        <v>46008</v>
      </c>
      <c r="B17" s="13" t="s">
        <v>14</v>
      </c>
      <c r="C17" s="13">
        <v>29</v>
      </c>
      <c r="D17" s="13">
        <v>29</v>
      </c>
      <c r="E17" s="66">
        <f>IF(F17&gt;D17,1,IF(F17=D17,0,-1))</f>
        <v>1</v>
      </c>
      <c r="F17" s="53">
        <v>30</v>
      </c>
      <c r="G17" s="13" t="str">
        <f>IF(AND(C17&lt;&gt;"",D17&lt;&gt;"",C17&gt;D17),"+" &amp; TEXT(C17-D17,"0"),"")</f>
        <v/>
      </c>
      <c r="H17" s="30" t="s">
        <v>187</v>
      </c>
      <c r="I17" s="13">
        <f>IF($J17="",4,LEN($J17)-LEN(SUBSTITUTE($J17,",",""))+1)</f>
        <v>4</v>
      </c>
      <c r="J17" s="13" t="s">
        <v>121</v>
      </c>
      <c r="K17" s="31" t="s">
        <v>114</v>
      </c>
      <c r="L17" s="32"/>
    </row>
    <row r="18" spans="1:14" s="28" customFormat="1" x14ac:dyDescent="0.25">
      <c r="A18" s="49">
        <v>46009</v>
      </c>
      <c r="B18" s="12" t="s">
        <v>16</v>
      </c>
      <c r="C18" s="12">
        <v>25</v>
      </c>
      <c r="D18" s="12">
        <v>25</v>
      </c>
      <c r="E18" s="68">
        <f>IF(F18&gt;D18,1,IF(F18=D18,0,-1))</f>
        <v>-1</v>
      </c>
      <c r="F18" s="79">
        <v>24</v>
      </c>
      <c r="G18" s="12" t="str">
        <f>IF(AND(C18&lt;&gt;"",D18&lt;&gt;"",C18&gt;D18),"+" &amp; TEXT(C18-D18,"0"),"")</f>
        <v/>
      </c>
      <c r="H18" s="29" t="s">
        <v>159</v>
      </c>
      <c r="I18" s="12">
        <f>IF($J18="",3,LEN($J18)-LEN(SUBSTITUTE($J18,",",""))+1)</f>
        <v>4</v>
      </c>
      <c r="J18" s="12" t="s">
        <v>108</v>
      </c>
      <c r="K18" s="50" t="s">
        <v>128</v>
      </c>
      <c r="L18" s="56"/>
    </row>
    <row r="19" spans="1:14" s="42" customFormat="1" x14ac:dyDescent="0.25">
      <c r="A19" s="43">
        <v>46010</v>
      </c>
      <c r="B19" s="13" t="s">
        <v>18</v>
      </c>
      <c r="C19" s="13">
        <v>21</v>
      </c>
      <c r="D19" s="13">
        <v>20</v>
      </c>
      <c r="E19" s="75">
        <f>IF(F19&gt;D19,1,IF(F19=D19,0,-1))</f>
        <v>0</v>
      </c>
      <c r="F19" s="53">
        <v>20</v>
      </c>
      <c r="G19" s="13" t="str">
        <f>IF(AND(C19&lt;&gt;"",D19&lt;&gt;"",C19&gt;D19),"+" &amp; TEXT(C19-D19,"0"),"")</f>
        <v>+1</v>
      </c>
      <c r="H19" s="30" t="s">
        <v>44</v>
      </c>
      <c r="I19" s="13">
        <f>IF($J19="",3,LEN($J19)-LEN(SUBSTITUTE($J19,",",""))+1)</f>
        <v>3</v>
      </c>
      <c r="J19" s="13" t="s">
        <v>122</v>
      </c>
      <c r="K19" s="31" t="s">
        <v>123</v>
      </c>
      <c r="L19" s="32"/>
    </row>
    <row r="20" spans="1:14" s="28" customFormat="1" x14ac:dyDescent="0.25">
      <c r="A20" s="57" t="s">
        <v>45</v>
      </c>
      <c r="B20" s="29"/>
      <c r="C20" s="29"/>
      <c r="D20" s="29"/>
      <c r="E20" s="76"/>
      <c r="F20" s="79" t="str">
        <f>IF(AND($J20="",$K20=""),"",SUMPRODUCT(--ISNUMBER(SEARCH(","&amp;Verpleegkundigen!$C$2:$C$100&amp;",",","&amp;LOWER(SUBSTITUTE(SUBSTITUTE($J20," ",""),CHAR(160),""))&amp;","))*(Verpleegkundigen!$C$2:$C$100&lt;&gt;LOWER(SUBSTITUTE(SUBSTITUTE($K20," ",""),CHAR(160),""))),Verpleegkundigen!$B$2:$B$100)+IF($K20&lt;&gt;"",1,0))</f>
        <v/>
      </c>
      <c r="G20" s="29"/>
      <c r="H20" s="29"/>
      <c r="I20" s="29"/>
      <c r="J20" s="29"/>
      <c r="K20" s="58"/>
      <c r="L20" s="59"/>
    </row>
    <row r="21" spans="1:14" s="42" customFormat="1" x14ac:dyDescent="0.25">
      <c r="A21" s="43">
        <v>46013</v>
      </c>
      <c r="B21" s="13" t="s">
        <v>10</v>
      </c>
      <c r="C21" s="13">
        <v>35</v>
      </c>
      <c r="D21" s="13">
        <v>35</v>
      </c>
      <c r="E21" s="67">
        <f>IF(F21&gt;D21,1,IF(F21=D21,0,-1))</f>
        <v>1</v>
      </c>
      <c r="F21" s="53">
        <f>IF(AND($J21="",$K21=""),"",SUMPRODUCT(--ISNUMBER(SEARCH(","&amp;Verpleegkundigen!$C$2:$C$100&amp;",",","&amp;LOWER(SUBSTITUTE(SUBSTITUTE($J21," ",""),CHAR(160),""))&amp;","))*(Verpleegkundigen!$C$2:$C$100&lt;&gt;LOWER(SUBSTITUTE(SUBSTITUTE($K21," ",""),CHAR(160),""))),Verpleegkundigen!$B$2:$B$100)+IF($K21&lt;&gt;"",1,0))</f>
        <v>36</v>
      </c>
      <c r="G21" s="13" t="str">
        <f>IF(AND(C21&lt;&gt;"",D21&lt;&gt;"",C21&gt;D21),"+" &amp; TEXT(C21-D21,"0"),"")</f>
        <v/>
      </c>
      <c r="H21" s="95" t="s">
        <v>200</v>
      </c>
      <c r="I21" s="13">
        <f>IF($J21="",4,LEN($J21)-LEN(SUBSTITUTE($J21,",",""))+1)</f>
        <v>5</v>
      </c>
      <c r="J21" s="13" t="s">
        <v>125</v>
      </c>
      <c r="K21" s="31" t="s">
        <v>114</v>
      </c>
      <c r="L21" s="32"/>
    </row>
    <row r="22" spans="1:14" s="28" customFormat="1" x14ac:dyDescent="0.25">
      <c r="A22" s="49">
        <v>46014</v>
      </c>
      <c r="B22" s="12" t="s">
        <v>12</v>
      </c>
      <c r="C22" s="12">
        <v>32</v>
      </c>
      <c r="D22" s="12">
        <f>IF(AND($J22="",$K22=""),"",SUMPRODUCT(--ISNUMBER(SEARCH(","&amp;Verpleegkundigen!$C$2:$C$100&amp;",",","&amp;LOWER(SUBSTITUTE(SUBSTITUTE($J22," ",""),CHAR(160),""))&amp;","))*(Verpleegkundigen!$C$2:$C$100&lt;&gt;LOWER(SUBSTITUTE(SUBSTITUTE($K22," ",""),CHAR(160),""))),Verpleegkundigen!$B$2:$B$100)+IF($K22&lt;&gt;"",1,0))</f>
        <v>31</v>
      </c>
      <c r="E22" s="69">
        <f>IF(F22&gt;D22,1,IF(F22=D22,0,-1))</f>
        <v>0</v>
      </c>
      <c r="F22" s="79">
        <f>IF(AND($J22="",$K22=""),"",SUMPRODUCT(--ISNUMBER(SEARCH(","&amp;Verpleegkundigen!$C$2:$C$100&amp;",",","&amp;LOWER(SUBSTITUTE(SUBSTITUTE($J22," ",""),CHAR(160),""))&amp;","))*(Verpleegkundigen!$C$2:$C$100&lt;&gt;LOWER(SUBSTITUTE(SUBSTITUTE($K22," ",""),CHAR(160),""))),Verpleegkundigen!$B$2:$B$100)+IF($K22&lt;&gt;"",1,0))</f>
        <v>31</v>
      </c>
      <c r="G22" s="12" t="str">
        <f>IF(AND(C22&lt;&gt;"",D22&lt;&gt;"",C22&gt;D22),"+" &amp; TEXT(C22-D22,"0"),"")</f>
        <v>+1</v>
      </c>
      <c r="H22" s="29" t="s">
        <v>46</v>
      </c>
      <c r="I22" s="12">
        <f>IF($J22="",4,LEN($J22)-LEN(SUBSTITUTE($J22,",",""))+1)</f>
        <v>4</v>
      </c>
      <c r="J22" s="12" t="s">
        <v>124</v>
      </c>
      <c r="K22" s="50" t="s">
        <v>117</v>
      </c>
      <c r="L22" s="56"/>
      <c r="N22" s="60"/>
    </row>
    <row r="23" spans="1:14" s="42" customFormat="1" x14ac:dyDescent="0.25">
      <c r="A23" s="43">
        <v>46015</v>
      </c>
      <c r="B23" s="13" t="s">
        <v>14</v>
      </c>
      <c r="C23" s="13">
        <v>24</v>
      </c>
      <c r="D23" s="13">
        <v>21</v>
      </c>
      <c r="E23" s="52">
        <f>IF(F23&gt;D23,1,IF(F23=D23,0,-1))</f>
        <v>0</v>
      </c>
      <c r="F23" s="53">
        <f>IF(AND($J23="",$K23=""),"",SUMPRODUCT(--ISNUMBER(SEARCH(","&amp;Verpleegkundigen!$C$2:$C$100&amp;",",","&amp;LOWER(SUBSTITUTE(SUBSTITUTE($J23," ",""),CHAR(160),""))&amp;","))*(Verpleegkundigen!$C$2:$C$100&lt;&gt;LOWER(SUBSTITUTE(SUBSTITUTE($K23," ",""),CHAR(160),""))),Verpleegkundigen!$B$2:$B$100)+IF($K23&lt;&gt;"",1,0))</f>
        <v>21</v>
      </c>
      <c r="G23" s="13" t="str">
        <f>IF(AND(C23&lt;&gt;"",D23&lt;&gt;"",C23&gt;D23),"+" &amp; TEXT(C23-D23,"0"),"")</f>
        <v>+3</v>
      </c>
      <c r="H23" s="30" t="s">
        <v>205</v>
      </c>
      <c r="I23" s="13">
        <f>IF($J23="",3,LEN($J23)-LEN(SUBSTITUTE($J23,",",""))+1)</f>
        <v>3</v>
      </c>
      <c r="J23" s="13" t="s">
        <v>203</v>
      </c>
      <c r="K23" s="31" t="s">
        <v>117</v>
      </c>
      <c r="L23" s="105" t="s">
        <v>204</v>
      </c>
    </row>
    <row r="24" spans="1:14" x14ac:dyDescent="0.25">
      <c r="A24" s="9">
        <v>46016</v>
      </c>
      <c r="B24" s="10" t="s">
        <v>16</v>
      </c>
      <c r="C24" s="33"/>
      <c r="D24" s="33" t="str">
        <f>IF(AND($J24="",$K24=""),"",SUMPRODUCT(--ISNUMBER(SEARCH(","&amp;Verpleegkundigen!$C$2:$C$100&amp;",",","&amp;LOWER(SUBSTITUTE(SUBSTITUTE($J24," ",""),CHAR(160),""))&amp;","))*(Verpleegkundigen!$C$2:$C$100&lt;&gt;LOWER(SUBSTITUTE(SUBSTITUTE($K24," ",""),CHAR(160),""))),Verpleegkundigen!$B$2:$B$100)+IF($K24&lt;&gt;"",1,0))</f>
        <v/>
      </c>
      <c r="E24" s="89"/>
      <c r="F24" s="84" t="str">
        <f>IF(AND($J24="",$K24=""),"",SUMPRODUCT(--ISNUMBER(SEARCH(","&amp;Verpleegkundigen!$C$2:$C$100&amp;",",","&amp;LOWER(SUBSTITUTE(SUBSTITUTE($J24," ",""),CHAR(160),""))&amp;","))*(Verpleegkundigen!$C$2:$C$100&lt;&gt;LOWER(SUBSTITUTE(SUBSTITUTE($K24," ",""),CHAR(160),""))),Verpleegkundigen!$B$2:$B$100)+IF($K24&lt;&gt;"",1,0))</f>
        <v/>
      </c>
      <c r="G24" s="33" t="str">
        <f>IF(AND(C24&lt;&gt;"",D24&lt;&gt;"",C24&gt;D24),"+" &amp; TEXT(C24-D24,"0"),"")</f>
        <v/>
      </c>
      <c r="H24" s="34" t="s">
        <v>47</v>
      </c>
      <c r="I24" s="33" t="str">
        <f>IF($J24="","",LEN($J24)-LEN(SUBSTITUTE($J24,",",""))+1)</f>
        <v/>
      </c>
      <c r="J24" s="33"/>
      <c r="K24" s="35"/>
      <c r="L24" s="36"/>
    </row>
    <row r="25" spans="1:14" x14ac:dyDescent="0.25">
      <c r="A25" s="6">
        <v>46017</v>
      </c>
      <c r="B25" s="7" t="s">
        <v>18</v>
      </c>
      <c r="C25" s="33"/>
      <c r="D25" s="33" t="str">
        <f>IF(AND($J25="",$K25=""),"",SUMPRODUCT(--ISNUMBER(SEARCH(","&amp;Verpleegkundigen!$C$2:$C$100&amp;",",","&amp;LOWER(SUBSTITUTE(SUBSTITUTE($J25," ",""),CHAR(160),""))&amp;","))*(Verpleegkundigen!$C$2:$C$100&lt;&gt;LOWER(SUBSTITUTE(SUBSTITUTE($K25," ",""),CHAR(160),""))),Verpleegkundigen!$B$2:$B$100)+IF($K25&lt;&gt;"",1,0))</f>
        <v/>
      </c>
      <c r="E25" s="89"/>
      <c r="F25" s="48" t="str">
        <f>IF(AND($J25="",$K25=""),"",SUMPRODUCT(--ISNUMBER(SEARCH(","&amp;Verpleegkundigen!$C$2:$C$100&amp;",",","&amp;LOWER(SUBSTITUTE(SUBSTITUTE($J25," ",""),CHAR(160),""))&amp;","))*(Verpleegkundigen!$C$2:$C$100&lt;&gt;LOWER(SUBSTITUTE(SUBSTITUTE($K25," ",""),CHAR(160),""))),Verpleegkundigen!$B$2:$B$100)+IF($K25&lt;&gt;"",1,0))</f>
        <v/>
      </c>
      <c r="G25" s="33" t="str">
        <f>IF(AND(C25&lt;&gt;"",D25&lt;&gt;"",C25&gt;D25),"+" &amp; TEXT(C25-D25,"0"),"")</f>
        <v/>
      </c>
      <c r="H25" s="34" t="s">
        <v>47</v>
      </c>
      <c r="I25" s="33" t="str">
        <f>IF($J25="","",LEN($J25)-LEN(SUBSTITUTE($J25,",",""))+1)</f>
        <v/>
      </c>
      <c r="J25" s="33"/>
      <c r="K25" s="35"/>
      <c r="L25" s="36"/>
    </row>
    <row r="26" spans="1:14" s="28" customFormat="1" x14ac:dyDescent="0.25">
      <c r="A26" s="57" t="s">
        <v>48</v>
      </c>
      <c r="B26" s="29"/>
      <c r="C26" s="29"/>
      <c r="D26" s="29"/>
      <c r="E26" s="68"/>
      <c r="F26" s="47" t="str">
        <f>IF(AND($J26="",$K26=""),"",SUMPRODUCT(--ISNUMBER(SEARCH(","&amp;Verpleegkundigen!$C$2:$C$100&amp;",",","&amp;LOWER(SUBSTITUTE(SUBSTITUTE($J26," ",""),CHAR(160),""))&amp;","))*(Verpleegkundigen!$C$2:$C$100&lt;&gt;LOWER(SUBSTITUTE(SUBSTITUTE($K26," ",""),CHAR(160),""))),Verpleegkundigen!$B$2:$B$100)+IF($K26&lt;&gt;"",1,0))</f>
        <v/>
      </c>
      <c r="G26" s="29"/>
      <c r="H26" s="29"/>
      <c r="I26" s="29"/>
      <c r="J26" s="29"/>
      <c r="K26" s="58"/>
      <c r="L26" s="61"/>
    </row>
    <row r="27" spans="1:14" s="42" customFormat="1" x14ac:dyDescent="0.25">
      <c r="A27" s="43">
        <v>46020</v>
      </c>
      <c r="B27" s="13" t="s">
        <v>10</v>
      </c>
      <c r="C27" s="13">
        <v>33</v>
      </c>
      <c r="D27" s="13">
        <f>IF(AND($J27="",$K27=""),"",SUMPRODUCT(--ISNUMBER(SEARCH(","&amp;Verpleegkundigen!$C$2:$C$100&amp;",",","&amp;LOWER(SUBSTITUTE(SUBSTITUTE($J27," ",""),CHAR(160),""))&amp;","))*(Verpleegkundigen!$C$2:$C$100&lt;&gt;LOWER(SUBSTITUTE(SUBSTITUTE($K27," ",""),CHAR(160),""))),Verpleegkundigen!$B$2:$B$100)+IF($K27&lt;&gt;"",1,0))</f>
        <v>31</v>
      </c>
      <c r="E27" s="66">
        <f>IF(F27&gt;D27,1,IF(F27=D27,0,-1))</f>
        <v>0</v>
      </c>
      <c r="F27" s="53">
        <f>IF(AND($J27="",$K27=""),"",SUMPRODUCT(--ISNUMBER(SEARCH(","&amp;Verpleegkundigen!$C$2:$C$100&amp;",",","&amp;LOWER(SUBSTITUTE(SUBSTITUTE($J27," ",""),CHAR(160),""))&amp;","))*(Verpleegkundigen!$C$2:$C$100&lt;&gt;LOWER(SUBSTITUTE(SUBSTITUTE($K27," ",""),CHAR(160),""))),Verpleegkundigen!$B$2:$B$100)+IF($K27&lt;&gt;"",1,0))</f>
        <v>31</v>
      </c>
      <c r="G27" s="13" t="str">
        <f>IF(AND(C27&lt;&gt;"",D27&lt;&gt;"",C27&gt;D27),"+" &amp; TEXT(C27-D27,"0"),"")</f>
        <v>+2</v>
      </c>
      <c r="H27" s="30" t="s">
        <v>49</v>
      </c>
      <c r="I27" s="13">
        <f>IF($J27="",4,LEN($J27)-LEN(SUBSTITUTE($J27,",",""))+1)</f>
        <v>4</v>
      </c>
      <c r="J27" s="13" t="s">
        <v>126</v>
      </c>
      <c r="K27" s="31" t="s">
        <v>117</v>
      </c>
      <c r="L27" s="54"/>
    </row>
    <row r="28" spans="1:14" s="28" customFormat="1" x14ac:dyDescent="0.25">
      <c r="A28" s="49">
        <v>46021</v>
      </c>
      <c r="B28" s="12" t="s">
        <v>12</v>
      </c>
      <c r="C28" s="12">
        <v>32</v>
      </c>
      <c r="D28" s="12">
        <f>IF(AND($J28="",$K28=""),"",SUMPRODUCT(--ISNUMBER(SEARCH(","&amp;Verpleegkundigen!$C$2:$C$100&amp;",",","&amp;LOWER(SUBSTITUTE(SUBSTITUTE($J28," ",""),CHAR(160),""))&amp;","))*(Verpleegkundigen!$C$2:$C$100&lt;&gt;LOWER(SUBSTITUTE(SUBSTITUTE($K28," ",""),CHAR(160),""))),Verpleegkundigen!$B$2:$B$100)+IF($K28&lt;&gt;"",1,0))</f>
        <v>31</v>
      </c>
      <c r="E28" s="69">
        <f>IF(F28&gt;D28,1,IF(F28=D28,0,-1))</f>
        <v>0</v>
      </c>
      <c r="F28" s="47">
        <f>IF(AND($J28="",$K28=""),"",SUMPRODUCT(--ISNUMBER(SEARCH(","&amp;Verpleegkundigen!$C$2:$C$100&amp;",",","&amp;LOWER(SUBSTITUTE(SUBSTITUTE($J28," ",""),CHAR(160),""))&amp;","))*(Verpleegkundigen!$C$2:$C$100&lt;&gt;LOWER(SUBSTITUTE(SUBSTITUTE($K28," ",""),CHAR(160),""))),Verpleegkundigen!$B$2:$B$100)+IF($K28&lt;&gt;"",1,0))</f>
        <v>31</v>
      </c>
      <c r="G28" s="12" t="str">
        <f>IF(AND(C28&lt;&gt;"",D28&lt;&gt;"",C28&gt;D28),"+" &amp; TEXT(C28-D28,"0"),"")</f>
        <v>+1</v>
      </c>
      <c r="H28" s="29" t="s">
        <v>49</v>
      </c>
      <c r="I28" s="12">
        <f>IF($J28="",4,LEN($J28)-LEN(SUBSTITUTE($J28,",",""))+1)</f>
        <v>4</v>
      </c>
      <c r="J28" s="12" t="s">
        <v>127</v>
      </c>
      <c r="K28" s="50" t="s">
        <v>109</v>
      </c>
      <c r="L28" s="51"/>
    </row>
    <row r="29" spans="1:14" s="42" customFormat="1" x14ac:dyDescent="0.25">
      <c r="A29" s="43">
        <v>46022</v>
      </c>
      <c r="B29" s="13" t="s">
        <v>14</v>
      </c>
      <c r="C29" s="13">
        <v>24</v>
      </c>
      <c r="D29" s="13">
        <f>IF(AND($J29="",$K29=""),"",SUMPRODUCT(--ISNUMBER(SEARCH(","&amp;Verpleegkundigen!$C$2:$C$100&amp;",",","&amp;LOWER(SUBSTITUTE(SUBSTITUTE($J29," ",""),CHAR(160),""))&amp;","))*(Verpleegkundigen!$C$2:$C$100&lt;&gt;LOWER(SUBSTITUTE(SUBSTITUTE($K29," ",""),CHAR(160),""))),Verpleegkundigen!$B$2:$B$100)+IF($K29&lt;&gt;"",1,0))</f>
        <v>21</v>
      </c>
      <c r="E29" s="75">
        <f>IF(F29&gt;D29,1,IF(F29=D29,0,-1))</f>
        <v>0</v>
      </c>
      <c r="F29" s="85">
        <f>IF(AND($J29="",$K29=""),"",SUMPRODUCT(--ISNUMBER(SEARCH(","&amp;Verpleegkundigen!$C$2:$C$100&amp;",",","&amp;LOWER(SUBSTITUTE(SUBSTITUTE($J29," ",""),CHAR(160),""))&amp;","))*(Verpleegkundigen!$C$2:$C$100&lt;&gt;LOWER(SUBSTITUTE(SUBSTITUTE($K29," ",""),CHAR(160),""))),Verpleegkundigen!$B$2:$B$100)+IF($K29&lt;&gt;"",1,0))</f>
        <v>21</v>
      </c>
      <c r="G29" s="13" t="str">
        <f>IF(AND(C29&lt;&gt;"",D29&lt;&gt;"",C29&gt;D29),"+" &amp; TEXT(C29-D29,"0"),"")</f>
        <v>+3</v>
      </c>
      <c r="H29" s="30" t="s">
        <v>42</v>
      </c>
      <c r="I29" s="13">
        <f>IF($J29="",3,LEN($J29)-LEN(SUBSTITUTE($J29,",",""))+1)</f>
        <v>3</v>
      </c>
      <c r="J29" s="13" t="s">
        <v>129</v>
      </c>
      <c r="K29" s="31" t="s">
        <v>111</v>
      </c>
      <c r="L29" s="54"/>
    </row>
    <row r="30" spans="1:14" x14ac:dyDescent="0.25">
      <c r="E30" s="44"/>
    </row>
    <row r="32" spans="1:14" x14ac:dyDescent="0.25">
      <c r="F32" s="38"/>
    </row>
    <row r="33" spans="4:6" x14ac:dyDescent="0.25">
      <c r="F33" s="86"/>
    </row>
    <row r="34" spans="4:6" x14ac:dyDescent="0.25">
      <c r="D34" s="46"/>
      <c r="F34" s="44"/>
    </row>
  </sheetData>
  <conditionalFormatting sqref="C2:C29">
    <cfRule type="expression" dxfId="152" priority="4">
      <formula>AND(ISNUMBER($C2),ISNUMBER($D2),$D2&gt;0,$C2&lt;0.8*$D2)</formula>
    </cfRule>
    <cfRule type="expression" dxfId="151" priority="5">
      <formula>AND(ISNUMBER($C2),ISNUMBER($D2),$D2&gt;0,$C2&gt;=0.8*$D2,$C2&lt;$D2)</formula>
    </cfRule>
    <cfRule type="expression" dxfId="150" priority="6">
      <formula>AND(ISNUMBER($C2),ISNUMBER($D2),$D2&gt;0,$C2&gt;=$D2)</formula>
    </cfRule>
  </conditionalFormatting>
  <conditionalFormatting sqref="I2:I29">
    <cfRule type="expression" dxfId="149" priority="7">
      <formula>$I2=2</formula>
    </cfRule>
    <cfRule type="expression" dxfId="148" priority="8">
      <formula>OR($I2=3,$I2=4)</formula>
    </cfRule>
    <cfRule type="expression" dxfId="147" priority="9">
      <formula>$I2&gt;=5</formula>
    </cfRule>
    <cfRule type="expression" dxfId="146" priority="10">
      <formula>$I2=2</formula>
    </cfRule>
    <cfRule type="expression" dxfId="145" priority="11">
      <formula>OR($I2=3,$I2=4)</formula>
    </cfRule>
    <cfRule type="expression" dxfId="144" priority="12">
      <formula>$I2&gt;=5</formula>
    </cfRule>
  </conditionalFormatting>
  <pageMargins left="0.75" right="0.75" top="1" bottom="1" header="0.5" footer="0.5"/>
  <pageSetup paperSize="9" orientation="portrait" verticalDpi="0" r:id="rId1"/>
  <ignoredErrors>
    <ignoredError sqref="E14:E29" formula="1"/>
  </ignoredErrors>
  <extLst>
    <ext xmlns:x14="http://schemas.microsoft.com/office/spreadsheetml/2009/9/main" uri="{78C0D931-6437-407d-A8EE-F0AAD7539E65}">
      <x14:conditionalFormattings>
        <x14:conditionalFormatting xmlns:xm="http://schemas.microsoft.com/office/excel/2006/main">
          <x14:cfRule type="iconSet" priority="1" id="{C867105C-08EE-4A1A-9FE7-2F4DAA0220EC}">
            <x14:iconSet iconSet="3Triangles" showValue="0">
              <x14:cfvo type="percent">
                <xm:f>0</xm:f>
              </x14:cfvo>
              <x14:cfvo type="formula">
                <xm:f>0</xm:f>
              </x14:cfvo>
              <x14:cfvo type="formula">
                <xm:f>1</xm:f>
              </x14:cfvo>
            </x14:iconSet>
          </x14:cfRule>
          <xm:sqref>E3:E29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zoomScale="90" zoomScaleNormal="90" workbookViewId="0">
      <selection activeCell="D13" sqref="D13"/>
    </sheetView>
  </sheetViews>
  <sheetFormatPr defaultColWidth="8.85546875" defaultRowHeight="15" x14ac:dyDescent="0.25"/>
  <cols>
    <col min="1" max="1" width="12.7109375" customWidth="1"/>
    <col min="2" max="2" width="8.7109375" customWidth="1"/>
    <col min="3" max="3" width="18.7109375" customWidth="1"/>
    <col min="4" max="4" width="33" bestFit="1" customWidth="1"/>
    <col min="5" max="5" width="3.42578125" customWidth="1"/>
    <col min="6" max="6" width="20.7109375" customWidth="1"/>
    <col min="7" max="7" width="14.7109375" customWidth="1"/>
    <col min="8" max="8" width="59.85546875" customWidth="1"/>
    <col min="9" max="9" width="10.7109375" customWidth="1"/>
    <col min="10" max="10" width="39.5703125" customWidth="1"/>
    <col min="11" max="11" width="20.5703125" customWidth="1"/>
    <col min="12" max="12" width="48.28515625" customWidth="1"/>
  </cols>
  <sheetData>
    <row r="1" spans="1:12" x14ac:dyDescent="0.25">
      <c r="A1" s="1" t="s">
        <v>0</v>
      </c>
      <c r="B1" s="1" t="s">
        <v>1</v>
      </c>
      <c r="C1" s="1" t="s">
        <v>2</v>
      </c>
      <c r="D1" s="1" t="s">
        <v>145</v>
      </c>
      <c r="E1" s="28"/>
      <c r="F1" s="1" t="s">
        <v>147</v>
      </c>
      <c r="G1" s="1" t="s">
        <v>4</v>
      </c>
      <c r="H1" s="1" t="s">
        <v>5</v>
      </c>
      <c r="I1" s="1" t="s">
        <v>6</v>
      </c>
      <c r="J1" s="1" t="s">
        <v>7</v>
      </c>
      <c r="K1" s="1" t="s">
        <v>8</v>
      </c>
      <c r="L1" s="21" t="s">
        <v>144</v>
      </c>
    </row>
    <row r="2" spans="1:12" x14ac:dyDescent="0.25">
      <c r="A2" s="3" t="s">
        <v>48</v>
      </c>
      <c r="B2" s="4"/>
      <c r="C2" s="4"/>
      <c r="D2" s="4"/>
      <c r="E2" s="62"/>
      <c r="F2" s="4"/>
      <c r="G2" s="4"/>
      <c r="H2" s="4"/>
      <c r="I2" s="5"/>
      <c r="J2" s="4"/>
      <c r="K2" s="4"/>
      <c r="L2" s="37"/>
    </row>
    <row r="3" spans="1:12" x14ac:dyDescent="0.25">
      <c r="A3" s="6">
        <v>46023</v>
      </c>
      <c r="B3" s="7" t="s">
        <v>16</v>
      </c>
      <c r="C3" s="33"/>
      <c r="D3" s="33" t="str">
        <f>IF(AND($J3="",$K3=""),"",SUMPRODUCT(--ISNUMBER(SEARCH(","&amp;Verpleegkundigen!$C$2:$C$100&amp;",",","&amp;LOWER(SUBSTITUTE(SUBSTITUTE($J3," ",""),CHAR(160),""))&amp;","))*(Verpleegkundigen!$C$2:$C$100&lt;&gt;LOWER(SUBSTITUTE(SUBSTITUTE($K3," ",""),CHAR(160),""))),Verpleegkundigen!$B$2:$B$100)+IF($K3&lt;&gt;"",1,0))</f>
        <v/>
      </c>
      <c r="E3" s="71"/>
      <c r="F3" s="33" t="str">
        <f>IF(AND($J3="",$K3=""),"",SUMPRODUCT(--ISNUMBER(SEARCH(","&amp;Verpleegkundigen!$C$2:$C$100&amp;",",","&amp;LOWER(SUBSTITUTE(SUBSTITUTE($J3," ",""),CHAR(160),""))&amp;","))*(Verpleegkundigen!$C$2:$C$100&lt;&gt;LOWER(SUBSTITUTE(SUBSTITUTE($K3," ",""),CHAR(160),""))),Verpleegkundigen!$B$2:$B$100)+IF($K3&lt;&gt;"",1,0))</f>
        <v/>
      </c>
      <c r="G3" s="33" t="str">
        <f>IF(AND(C3&lt;&gt;"",D3&lt;&gt;"",C3&gt;D3),"+" &amp; TEXT(C3-D3,"0"),"")</f>
        <v/>
      </c>
      <c r="H3" s="34" t="s">
        <v>47</v>
      </c>
      <c r="I3" s="33" t="str">
        <f>IF($J3="","",LEN($J3)-LEN(SUBSTITUTE($J3,",",""))+1)</f>
        <v/>
      </c>
      <c r="J3" s="33"/>
      <c r="K3" s="33"/>
      <c r="L3" s="39"/>
    </row>
    <row r="4" spans="1:12" x14ac:dyDescent="0.25">
      <c r="A4" s="9">
        <v>46024</v>
      </c>
      <c r="B4" s="10" t="s">
        <v>18</v>
      </c>
      <c r="C4" s="10">
        <v>23</v>
      </c>
      <c r="D4" s="10">
        <v>18</v>
      </c>
      <c r="E4" s="64">
        <f>IF(F4&gt;D4,1,IF(F4=D4,0,-1))</f>
        <v>1</v>
      </c>
      <c r="F4" s="72">
        <f>IF(AND($J4="",$K4=""),"",SUMPRODUCT(--ISNUMBER(SEARCH(","&amp;Verpleegkundigen!$C$2:$C$100&amp;",",","&amp;LOWER(SUBSTITUTE(SUBSTITUTE($J4," ",""),CHAR(160),""))&amp;","))*(Verpleegkundigen!$C$2:$C$100&lt;&gt;LOWER(SUBSTITUTE(SUBSTITUTE($K4," ",""),CHAR(160),""))),Verpleegkundigen!$B$2:$B$100)+IF($K4&lt;&gt;"",1,0))</f>
        <v>21</v>
      </c>
      <c r="G4" s="10" t="str">
        <f>IF(AND(C4&lt;&gt;"",D4&lt;&gt;"",C4&gt;D4),"+" &amp; TEXT(C4-D4,"0"),"")</f>
        <v>+5</v>
      </c>
      <c r="H4" s="4" t="s">
        <v>201</v>
      </c>
      <c r="I4" s="7">
        <f>IF($J4="",3,LEN($J4)-LEN(SUBSTITUTE($J4,",",""))+1)</f>
        <v>3</v>
      </c>
      <c r="J4" s="10" t="s">
        <v>130</v>
      </c>
      <c r="K4" s="10" t="s">
        <v>110</v>
      </c>
      <c r="L4" s="106" t="s">
        <v>188</v>
      </c>
    </row>
    <row r="5" spans="1:12" x14ac:dyDescent="0.25">
      <c r="A5" s="11" t="s">
        <v>50</v>
      </c>
      <c r="B5" s="5"/>
      <c r="C5" s="5"/>
      <c r="D5" s="5"/>
      <c r="E5" s="65"/>
      <c r="F5" s="73" t="str">
        <f>IF(AND($J5="",$K5=""),"",SUMPRODUCT(--ISNUMBER(SEARCH(","&amp;Verpleegkundigen!$C$2:$C$100&amp;",",","&amp;LOWER(SUBSTITUTE(SUBSTITUTE($J5," ",""),CHAR(160),""))&amp;","))*(Verpleegkundigen!$C$2:$C$100&lt;&gt;LOWER(SUBSTITUTE(SUBSTITUTE($K5," ",""),CHAR(160),""))),Verpleegkundigen!$B$2:$B$100)+IF($K5&lt;&gt;"",1,0))</f>
        <v/>
      </c>
      <c r="G5" s="5"/>
      <c r="H5" s="5"/>
      <c r="I5" s="5"/>
      <c r="J5" s="5"/>
      <c r="K5" s="5"/>
      <c r="L5" s="98"/>
    </row>
    <row r="6" spans="1:12" ht="30" x14ac:dyDescent="0.25">
      <c r="A6" s="9">
        <v>46027</v>
      </c>
      <c r="B6" s="10" t="s">
        <v>10</v>
      </c>
      <c r="C6" s="10">
        <v>31</v>
      </c>
      <c r="D6" s="10">
        <v>31</v>
      </c>
      <c r="E6" s="64">
        <f>IF(F6&gt;D6,1,IF(F6=D6,0,-1))</f>
        <v>0</v>
      </c>
      <c r="F6" s="72">
        <f>IF(AND($J6="",$K6=""),"",SUMPRODUCT(--ISNUMBER(SEARCH(","&amp;Verpleegkundigen!$C$2:$C$100&amp;",",","&amp;LOWER(SUBSTITUTE(SUBSTITUTE($J6," ",""),CHAR(160),""))&amp;","))*(Verpleegkundigen!$C$2:$C$100&lt;&gt;LOWER(SUBSTITUTE(SUBSTITUTE($K6," ",""),CHAR(160),""))),Verpleegkundigen!$B$2:$B$100)+IF($K6&lt;&gt;"",1,0))</f>
        <v>31</v>
      </c>
      <c r="G6" s="10" t="str">
        <f>IF(AND(C6&lt;&gt;"",D6&lt;&gt;"",C6&gt;D6),"+" &amp; TEXT(C6-D6,"0"),"")</f>
        <v/>
      </c>
      <c r="H6" s="4" t="s">
        <v>139</v>
      </c>
      <c r="I6" s="7">
        <f>IF($J6="",4,LEN($J6)-LEN(SUBSTITUTE($J6,",",""))+1)</f>
        <v>4</v>
      </c>
      <c r="J6" s="10" t="s">
        <v>112</v>
      </c>
      <c r="K6" s="10" t="s">
        <v>109</v>
      </c>
      <c r="L6" s="99" t="s">
        <v>191</v>
      </c>
    </row>
    <row r="7" spans="1:12" x14ac:dyDescent="0.25">
      <c r="A7" s="6">
        <v>46028</v>
      </c>
      <c r="B7" s="7" t="s">
        <v>12</v>
      </c>
      <c r="C7" s="7">
        <v>32</v>
      </c>
      <c r="D7" s="7">
        <v>31</v>
      </c>
      <c r="E7" s="67">
        <f>IF(F7&gt;D7,1,IF(F7=D7,0,-1))</f>
        <v>0</v>
      </c>
      <c r="F7" s="74">
        <f>IF(AND($J7="",$K7=""),"",SUMPRODUCT(--ISNUMBER(SEARCH(","&amp;Verpleegkundigen!$C$2:$C$100&amp;",",","&amp;LOWER(SUBSTITUTE(SUBSTITUTE($J7," ",""),CHAR(160),""))&amp;","))*(Verpleegkundigen!$C$2:$C$100&lt;&gt;LOWER(SUBSTITUTE(SUBSTITUTE($K7," ",""),CHAR(160),""))),Verpleegkundigen!$B$2:$B$100)+IF($K7&lt;&gt;"",1,0))</f>
        <v>31</v>
      </c>
      <c r="G7" s="7" t="str">
        <f>IF(AND(C7&lt;&gt;"",D7&lt;&gt;"",C7&gt;D7),"+" &amp; TEXT(C7-D7,"0"),"")</f>
        <v>+1</v>
      </c>
      <c r="H7" s="4" t="s">
        <v>139</v>
      </c>
      <c r="I7" s="7">
        <f>IF($J7="",4,LEN($J7)-LEN(SUBSTITUTE($J7,",",""))+1)</f>
        <v>4</v>
      </c>
      <c r="J7" s="7" t="s">
        <v>112</v>
      </c>
      <c r="K7" s="7" t="s">
        <v>114</v>
      </c>
      <c r="L7" s="100"/>
    </row>
    <row r="8" spans="1:12" x14ac:dyDescent="0.25">
      <c r="A8" s="9">
        <v>46029</v>
      </c>
      <c r="B8" s="10" t="s">
        <v>14</v>
      </c>
      <c r="C8" s="10">
        <v>32</v>
      </c>
      <c r="D8" s="10">
        <v>31</v>
      </c>
      <c r="E8" s="63">
        <f>IF(F8&gt;D8,1,IF(F8=D8,0,-1))</f>
        <v>0</v>
      </c>
      <c r="F8" s="72">
        <f>IF(AND($J8="",$K8=""),"",SUMPRODUCT(--ISNUMBER(SEARCH(","&amp;Verpleegkundigen!$C$2:$C$100&amp;",",","&amp;LOWER(SUBSTITUTE(SUBSTITUTE($J8," ",""),CHAR(160),""))&amp;","))*(Verpleegkundigen!$C$2:$C$100&lt;&gt;LOWER(SUBSTITUTE(SUBSTITUTE($K8," ",""),CHAR(160),""))),Verpleegkundigen!$B$2:$B$100)+IF($K8&lt;&gt;"",1,0))</f>
        <v>31</v>
      </c>
      <c r="G8" s="10" t="str">
        <f>IF(AND(C8&lt;&gt;"",D8&lt;&gt;"",C8&gt;D8),"+" &amp; TEXT(C8-D8,"0"),"")</f>
        <v>+1</v>
      </c>
      <c r="H8" s="4" t="s">
        <v>139</v>
      </c>
      <c r="I8" s="7">
        <f>IF($J8="",4,LEN($J8)-LEN(SUBSTITUTE($J8,",",""))+1)</f>
        <v>4</v>
      </c>
      <c r="J8" s="10" t="s">
        <v>132</v>
      </c>
      <c r="K8" s="10" t="s">
        <v>111</v>
      </c>
      <c r="L8" s="99"/>
    </row>
    <row r="9" spans="1:12" x14ac:dyDescent="0.25">
      <c r="A9" s="6">
        <v>46030</v>
      </c>
      <c r="B9" s="7" t="s">
        <v>16</v>
      </c>
      <c r="C9" s="7">
        <v>31</v>
      </c>
      <c r="D9" s="7">
        <v>31</v>
      </c>
      <c r="E9" s="67">
        <f>IF(F9&gt;D9,1,IF(F9=D9,0,-1))</f>
        <v>1</v>
      </c>
      <c r="F9" s="74">
        <f>IF(AND($J9="",$K9=""),"",SUMPRODUCT(--ISNUMBER(SEARCH(","&amp;Verpleegkundigen!$C$2:$C$100&amp;",",","&amp;LOWER(SUBSTITUTE(SUBSTITUTE($J9," ",""),CHAR(160),""))&amp;","))*(Verpleegkundigen!$C$2:$C$100&lt;&gt;LOWER(SUBSTITUTE(SUBSTITUTE($K9," ",""),CHAR(160),""))),Verpleegkundigen!$B$2:$B$100)+IF($K9&lt;&gt;"",1,0))</f>
        <v>36</v>
      </c>
      <c r="G9" s="7" t="str">
        <f>IF(AND(C9&lt;&gt;"",D9&lt;&gt;"",C9&gt;D9),"+" &amp; TEXT(C9-D9,"0"),"")</f>
        <v/>
      </c>
      <c r="H9" s="4" t="s">
        <v>192</v>
      </c>
      <c r="I9" s="7">
        <f>IF($J9="",4,LEN($J9)-LEN(SUBSTITUTE($J9,",",""))+1)</f>
        <v>5</v>
      </c>
      <c r="J9" s="7" t="s">
        <v>133</v>
      </c>
      <c r="K9" s="7" t="s">
        <v>128</v>
      </c>
      <c r="L9" s="100"/>
    </row>
    <row r="10" spans="1:12" x14ac:dyDescent="0.25">
      <c r="A10" s="9">
        <v>46031</v>
      </c>
      <c r="B10" s="10" t="s">
        <v>18</v>
      </c>
      <c r="C10" s="10">
        <v>36</v>
      </c>
      <c r="D10" s="10">
        <v>36</v>
      </c>
      <c r="E10" s="69">
        <f>IF(F10&gt;D10,1,IF(F10=D10,0,-1))</f>
        <v>1</v>
      </c>
      <c r="F10" s="74">
        <f>IF(AND($J10="",$K10=""),"",SUMPRODUCT(--ISNUMBER(SEARCH(","&amp;Verpleegkundigen!$C$2:$C$100&amp;",",","&amp;LOWER(SUBSTITUTE(SUBSTITUTE($J10," ",""),CHAR(160),""))&amp;","))*(Verpleegkundigen!$C$2:$C$100&lt;&gt;LOWER(SUBSTITUTE(SUBSTITUTE($K10," ",""),CHAR(160),""))),Verpleegkundigen!$B$2:$B$100)+IF($K10&lt;&gt;"",1,0))</f>
        <v>41</v>
      </c>
      <c r="G10" s="10" t="str">
        <f>IF(AND(C10&lt;&gt;"",D10&lt;&gt;"",C10&gt;D10),"+" &amp; TEXT(C10-D10,"0"),"")</f>
        <v/>
      </c>
      <c r="H10" s="4" t="s">
        <v>139</v>
      </c>
      <c r="I10" s="7">
        <f>IF($J10="",4,LEN($J10)-LEN(SUBSTITUTE($J10,",",""))+1)</f>
        <v>5</v>
      </c>
      <c r="J10" s="10" t="s">
        <v>160</v>
      </c>
      <c r="K10" s="10" t="s">
        <v>117</v>
      </c>
      <c r="L10" s="99"/>
    </row>
    <row r="11" spans="1:12" x14ac:dyDescent="0.25">
      <c r="A11" s="11" t="s">
        <v>51</v>
      </c>
      <c r="B11" s="5"/>
      <c r="C11" s="5"/>
      <c r="D11" s="5"/>
      <c r="E11" s="65"/>
      <c r="F11" s="73" t="str">
        <f>IF(AND($J11="",$K11=""),"",SUMPRODUCT(--ISNUMBER(SEARCH(","&amp;Verpleegkundigen!$C$2:$C$100&amp;",",","&amp;LOWER(SUBSTITUTE(SUBSTITUTE($J11," ",""),CHAR(160),""))&amp;","))*(Verpleegkundigen!$C$2:$C$100&lt;&gt;LOWER(SUBSTITUTE(SUBSTITUTE($K11," ",""),CHAR(160),""))),Verpleegkundigen!$B$2:$B$100)+IF($K11&lt;&gt;"",1,0))</f>
        <v/>
      </c>
      <c r="G11" s="5"/>
      <c r="H11" s="5"/>
      <c r="I11" s="5"/>
      <c r="J11" s="5"/>
      <c r="K11" s="5"/>
      <c r="L11" s="98"/>
    </row>
    <row r="12" spans="1:12" ht="30" x14ac:dyDescent="0.25">
      <c r="A12" s="9">
        <v>46034</v>
      </c>
      <c r="B12" s="10" t="s">
        <v>10</v>
      </c>
      <c r="C12" s="10">
        <v>30</v>
      </c>
      <c r="D12" s="10">
        <v>31</v>
      </c>
      <c r="E12" s="64">
        <f>IF(F12&gt;D12,1,IF(F12=D12,0,-1))</f>
        <v>0</v>
      </c>
      <c r="F12" s="72">
        <f>IF(AND($J12="",$K12=""),"",SUMPRODUCT(--ISNUMBER(SEARCH(","&amp;Verpleegkundigen!$C$2:$C$100&amp;",",","&amp;LOWER(SUBSTITUTE(SUBSTITUTE($J12," ",""),CHAR(160),""))&amp;","))*(Verpleegkundigen!$C$2:$C$100&lt;&gt;LOWER(SUBSTITUTE(SUBSTITUTE($K12," ",""),CHAR(160),""))),Verpleegkundigen!$B$2:$B$100)+IF($K12&lt;&gt;"",1,0))</f>
        <v>31</v>
      </c>
      <c r="G12" s="10" t="str">
        <f>IF(AND(C12&lt;&gt;"",D12&lt;&gt;"",C12&gt;D12),"+" &amp; TEXT(C12-D12,"0"),"")</f>
        <v/>
      </c>
      <c r="H12" s="4" t="s">
        <v>139</v>
      </c>
      <c r="I12" s="7">
        <f>IF($J12="",4,LEN($J12)-LEN(SUBSTITUTE($J12,",",""))+1)</f>
        <v>4</v>
      </c>
      <c r="J12" s="10" t="s">
        <v>189</v>
      </c>
      <c r="K12" s="10" t="s">
        <v>128</v>
      </c>
      <c r="L12" s="99" t="s">
        <v>194</v>
      </c>
    </row>
    <row r="13" spans="1:12" x14ac:dyDescent="0.25">
      <c r="A13" s="6">
        <v>46035</v>
      </c>
      <c r="B13" s="7" t="s">
        <v>12</v>
      </c>
      <c r="C13" s="7">
        <v>30</v>
      </c>
      <c r="D13" s="7">
        <v>31</v>
      </c>
      <c r="E13" s="67">
        <f>IF(F13&gt;D13,1,IF(F13=D13,0,-1))</f>
        <v>1</v>
      </c>
      <c r="F13" s="74">
        <f>IF(AND($J13="",$K13=""),"",SUMPRODUCT(--ISNUMBER(SEARCH(","&amp;Verpleegkundigen!$C$2:$C$100&amp;",",","&amp;LOWER(SUBSTITUTE(SUBSTITUTE($J13," ",""),CHAR(160),""))&amp;","))*(Verpleegkundigen!$C$2:$C$100&lt;&gt;LOWER(SUBSTITUTE(SUBSTITUTE($K13," ",""),CHAR(160),""))),Verpleegkundigen!$B$2:$B$100)+IF($K13&lt;&gt;"",1,0))</f>
        <v>41</v>
      </c>
      <c r="G13" s="7" t="str">
        <f>IF(AND(C13&lt;&gt;"",D13&lt;&gt;"",C13&gt;D13),"+" &amp; TEXT(C13-D13,"0"),"")</f>
        <v/>
      </c>
      <c r="H13" s="4" t="s">
        <v>139</v>
      </c>
      <c r="I13" s="7">
        <f>IF($J13="",4,LEN($J13)-LEN(SUBSTITUTE($J13,",",""))+1)</f>
        <v>5</v>
      </c>
      <c r="J13" s="7" t="s">
        <v>161</v>
      </c>
      <c r="K13" s="7" t="s">
        <v>109</v>
      </c>
      <c r="L13" s="100"/>
    </row>
    <row r="14" spans="1:12" x14ac:dyDescent="0.25">
      <c r="A14" s="9">
        <v>46036</v>
      </c>
      <c r="B14" s="10" t="s">
        <v>14</v>
      </c>
      <c r="C14" s="10">
        <v>30</v>
      </c>
      <c r="D14" s="10">
        <v>31</v>
      </c>
      <c r="E14" s="63">
        <f>IF(F14&gt;D14,1,IF(F14=D14,0,-1))</f>
        <v>-1</v>
      </c>
      <c r="F14" s="72">
        <f>IF(AND($J14="",$K14=""),"",SUMPRODUCT(--ISNUMBER(SEARCH(","&amp;Verpleegkundigen!$C$2:$C$100&amp;",",","&amp;LOWER(SUBSTITUTE(SUBSTITUTE($J14," ",""),CHAR(160),""))&amp;","))*(Verpleegkundigen!$C$2:$C$100&lt;&gt;LOWER(SUBSTITUTE(SUBSTITUTE($K14," ",""),CHAR(160),""))),Verpleegkundigen!$B$2:$B$100)+IF($K14&lt;&gt;"",1,0))</f>
        <v>27</v>
      </c>
      <c r="G14" s="10" t="str">
        <f>IF(AND(C14&lt;&gt;"",D14&lt;&gt;"",C14&gt;D14),"+" &amp; TEXT(C14-D14,"0"),"")</f>
        <v/>
      </c>
      <c r="H14" s="4" t="s">
        <v>139</v>
      </c>
      <c r="I14" s="7">
        <f>IF($J14="",4,LEN($J14)-LEN(SUBSTITUTE($J14,",",""))+1)</f>
        <v>4</v>
      </c>
      <c r="J14" s="10" t="s">
        <v>162</v>
      </c>
      <c r="K14" s="10" t="s">
        <v>111</v>
      </c>
      <c r="L14" s="99"/>
    </row>
    <row r="15" spans="1:12" x14ac:dyDescent="0.25">
      <c r="A15" s="6">
        <v>46037</v>
      </c>
      <c r="B15" s="7" t="s">
        <v>16</v>
      </c>
      <c r="C15" s="7">
        <v>29</v>
      </c>
      <c r="D15" s="7">
        <v>31</v>
      </c>
      <c r="E15" s="63">
        <f>IF(F15&gt;D15,1,IF(F15=D15,0,-1))</f>
        <v>1</v>
      </c>
      <c r="F15" s="72">
        <f>IF(AND($J15="",$K15=""),"",SUMPRODUCT(--ISNUMBER(SEARCH(","&amp;Verpleegkundigen!$C$2:$C$100&amp;",",","&amp;LOWER(SUBSTITUTE(SUBSTITUTE($J15," ",""),CHAR(160),""))&amp;","))*(Verpleegkundigen!$C$2:$C$100&lt;&gt;LOWER(SUBSTITUTE(SUBSTITUTE($K15," ",""),CHAR(160),""))),Verpleegkundigen!$B$2:$B$100)+IF($K15&lt;&gt;"",1,0))</f>
        <v>36</v>
      </c>
      <c r="G15" s="7" t="str">
        <f>IF(AND(C15&lt;&gt;"",D15&lt;&gt;"",C15&gt;D15),"+" &amp; TEXT(C15-D15,"0"),"")</f>
        <v/>
      </c>
      <c r="H15" s="4" t="s">
        <v>193</v>
      </c>
      <c r="I15" s="7">
        <f>IF($J15="",4,LEN($J15)-LEN(SUBSTITUTE($J15,",",""))+1)</f>
        <v>5</v>
      </c>
      <c r="J15" s="7" t="s">
        <v>134</v>
      </c>
      <c r="K15" s="7" t="s">
        <v>114</v>
      </c>
      <c r="L15" s="100"/>
    </row>
    <row r="16" spans="1:12" x14ac:dyDescent="0.25">
      <c r="A16" s="9">
        <v>46038</v>
      </c>
      <c r="B16" s="10" t="s">
        <v>18</v>
      </c>
      <c r="C16" s="10">
        <v>30</v>
      </c>
      <c r="D16" s="10">
        <v>31</v>
      </c>
      <c r="E16" s="69">
        <f>IF(F16&gt;D16,1,IF(F16=D16,0,-1))</f>
        <v>1</v>
      </c>
      <c r="F16" s="74">
        <f>IF(AND($J16="",$K16=""),"",SUMPRODUCT(--ISNUMBER(SEARCH(","&amp;Verpleegkundigen!$C$2:$C$100&amp;",",","&amp;LOWER(SUBSTITUTE(SUBSTITUTE($J16," ",""),CHAR(160),""))&amp;","))*(Verpleegkundigen!$C$2:$C$100&lt;&gt;LOWER(SUBSTITUTE(SUBSTITUTE($K16," ",""),CHAR(160),""))),Verpleegkundigen!$B$2:$B$100)+IF($K16&lt;&gt;"",1,0))</f>
        <v>37</v>
      </c>
      <c r="G16" s="10" t="str">
        <f>IF(AND(C16&lt;&gt;"",D16&lt;&gt;"",C16&gt;D16),"+" &amp; TEXT(C16-D16,"0"),"")</f>
        <v/>
      </c>
      <c r="H16" s="4" t="s">
        <v>139</v>
      </c>
      <c r="I16" s="7">
        <f>IF($J16="",4,LEN($J16)-LEN(SUBSTITUTE($J16,",",""))+1)</f>
        <v>5</v>
      </c>
      <c r="J16" s="10" t="s">
        <v>163</v>
      </c>
      <c r="K16" s="10" t="s">
        <v>117</v>
      </c>
      <c r="L16" s="99"/>
    </row>
    <row r="17" spans="1:12" x14ac:dyDescent="0.25">
      <c r="A17" s="11" t="s">
        <v>52</v>
      </c>
      <c r="B17" s="5"/>
      <c r="C17" s="5"/>
      <c r="D17" s="5"/>
      <c r="E17" s="65"/>
      <c r="F17" s="73" t="str">
        <f>IF(AND($J17="",$K17=""),"",SUMPRODUCT(--ISNUMBER(SEARCH(","&amp;Verpleegkundigen!$C$2:$C$100&amp;",",","&amp;LOWER(SUBSTITUTE(SUBSTITUTE($J17," ",""),CHAR(160),""))&amp;","))*(Verpleegkundigen!$C$2:$C$100&lt;&gt;LOWER(SUBSTITUTE(SUBSTITUTE($K17," ",""),CHAR(160),""))),Verpleegkundigen!$B$2:$B$100)+IF($K17&lt;&gt;"",1,0))</f>
        <v/>
      </c>
      <c r="G17" s="5"/>
      <c r="H17" s="5"/>
      <c r="I17" s="5"/>
      <c r="J17" s="5"/>
      <c r="K17" s="5"/>
      <c r="L17" s="98"/>
    </row>
    <row r="18" spans="1:12" x14ac:dyDescent="0.25">
      <c r="A18" s="9">
        <v>46041</v>
      </c>
      <c r="B18" s="10" t="s">
        <v>10</v>
      </c>
      <c r="C18" s="10">
        <v>30</v>
      </c>
      <c r="D18" s="10">
        <v>31</v>
      </c>
      <c r="E18" s="64">
        <f>IF(F18&gt;D18,1,IF(F18=D18,0,-1))</f>
        <v>1</v>
      </c>
      <c r="F18" s="72">
        <f>IF(AND($J18="",$K18=""),"",SUMPRODUCT(--ISNUMBER(SEARCH(","&amp;Verpleegkundigen!$C$2:$C$100&amp;",",","&amp;LOWER(SUBSTITUTE(SUBSTITUTE($J18," ",""),CHAR(160),""))&amp;","))*(Verpleegkundigen!$C$2:$C$100&lt;&gt;LOWER(SUBSTITUTE(SUBSTITUTE($K18," ",""),CHAR(160),""))),Verpleegkundigen!$B$2:$B$100)+IF($K18&lt;&gt;"",1,0))</f>
        <v>36</v>
      </c>
      <c r="G18" s="10" t="str">
        <f>IF(AND(C18&lt;&gt;"",D18&lt;&gt;"",C18&gt;D18),"+" &amp; TEXT(C18-D18,"0"),"")</f>
        <v/>
      </c>
      <c r="H18" s="4" t="s">
        <v>192</v>
      </c>
      <c r="I18" s="7">
        <f>IF($J18="",4,LEN($J18)-LEN(SUBSTITUTE($J18,",",""))+1)</f>
        <v>5</v>
      </c>
      <c r="J18" s="10" t="s">
        <v>133</v>
      </c>
      <c r="K18" s="10" t="s">
        <v>128</v>
      </c>
      <c r="L18" s="99"/>
    </row>
    <row r="19" spans="1:12" ht="30" x14ac:dyDescent="0.25">
      <c r="A19" s="6">
        <v>46042</v>
      </c>
      <c r="B19" s="7" t="s">
        <v>12</v>
      </c>
      <c r="C19" s="7">
        <v>22</v>
      </c>
      <c r="D19" s="7">
        <v>31</v>
      </c>
      <c r="E19" s="67">
        <f>IF(F19&gt;D19,1,IF(F19=D19,0,-1))</f>
        <v>1</v>
      </c>
      <c r="F19" s="74">
        <f>IF(AND($J19="",$K19=""),"",SUMPRODUCT(--ISNUMBER(SEARCH(","&amp;Verpleegkundigen!$C$2:$C$100&amp;",",","&amp;LOWER(SUBSTITUTE(SUBSTITUTE($J19," ",""),CHAR(160),""))&amp;","))*(Verpleegkundigen!$C$2:$C$100&lt;&gt;LOWER(SUBSTITUTE(SUBSTITUTE($K19," ",""),CHAR(160),""))),Verpleegkundigen!$B$2:$B$100)+IF($K19&lt;&gt;"",1,0))</f>
        <v>41</v>
      </c>
      <c r="G19" s="7" t="str">
        <f>IF(AND(C19&lt;&gt;"",D19&lt;&gt;"",C19&gt;D19),"+" &amp; TEXT(C19-D19,"0"),"")</f>
        <v/>
      </c>
      <c r="H19" s="97" t="s">
        <v>140</v>
      </c>
      <c r="I19" s="7">
        <f>IF($J19="",4,LEN($J19)-LEN(SUBSTITUTE($J19,",",""))+1)</f>
        <v>5</v>
      </c>
      <c r="J19" s="7" t="s">
        <v>164</v>
      </c>
      <c r="K19" s="7" t="s">
        <v>111</v>
      </c>
      <c r="L19" s="100"/>
    </row>
    <row r="20" spans="1:12" x14ac:dyDescent="0.25">
      <c r="A20" s="9">
        <v>46043</v>
      </c>
      <c r="B20" s="10" t="s">
        <v>14</v>
      </c>
      <c r="C20" s="10">
        <v>28</v>
      </c>
      <c r="D20" s="10">
        <v>31</v>
      </c>
      <c r="E20" s="67">
        <f>IF(F20&gt;D20,1,IF(F20=D20,0,-1))</f>
        <v>1</v>
      </c>
      <c r="F20" s="74">
        <f>IF(AND($J20="",$K20=""),"",SUMPRODUCT(--ISNUMBER(SEARCH(","&amp;Verpleegkundigen!$C$2:$C$100&amp;",",","&amp;LOWER(SUBSTITUTE(SUBSTITUTE($J20," ",""),CHAR(160),""))&amp;","))*(Verpleegkundigen!$C$2:$C$100&lt;&gt;LOWER(SUBSTITUTE(SUBSTITUTE($K20," ",""),CHAR(160),""))),Verpleegkundigen!$B$2:$B$100)+IF($K20&lt;&gt;"",1,0))</f>
        <v>37</v>
      </c>
      <c r="G20" s="10" t="str">
        <f>IF(AND(C20&lt;&gt;"",D20&lt;&gt;"",C20&gt;D20),"+" &amp; TEXT(C20-D20,"0"),"")</f>
        <v/>
      </c>
      <c r="H20" s="96" t="s">
        <v>139</v>
      </c>
      <c r="I20" s="7">
        <f>IF($J20="",4,LEN($J20)-LEN(SUBSTITUTE($J20,",",""))+1)</f>
        <v>5</v>
      </c>
      <c r="J20" s="10" t="s">
        <v>165</v>
      </c>
      <c r="K20" s="10" t="s">
        <v>123</v>
      </c>
      <c r="L20" s="99"/>
    </row>
    <row r="21" spans="1:12" ht="30" x14ac:dyDescent="0.25">
      <c r="A21" s="6">
        <v>46044</v>
      </c>
      <c r="B21" s="7" t="s">
        <v>16</v>
      </c>
      <c r="C21" s="7">
        <v>26</v>
      </c>
      <c r="D21" s="7">
        <v>31</v>
      </c>
      <c r="E21" s="63">
        <f>IF(F21&gt;D21,1,IF(F21=D21,0,-1))</f>
        <v>0</v>
      </c>
      <c r="F21" s="72">
        <f>IF(AND($J21="",$K21=""),"",SUMPRODUCT(--ISNUMBER(SEARCH(","&amp;Verpleegkundigen!$C$2:$C$100&amp;",",","&amp;LOWER(SUBSTITUTE(SUBSTITUTE($J21," ",""),CHAR(160),""))&amp;","))*(Verpleegkundigen!$C$2:$C$100&lt;&gt;LOWER(SUBSTITUTE(SUBSTITUTE($K21," ",""),CHAR(160),""))),Verpleegkundigen!$B$2:$B$100)+IF($K21&lt;&gt;"",1,0))</f>
        <v>31</v>
      </c>
      <c r="G21" s="7" t="str">
        <f>IF(AND(C21&lt;&gt;"",D21&lt;&gt;"",C21&gt;D21),"+" &amp; TEXT(C21-D21,"0"),"")</f>
        <v/>
      </c>
      <c r="H21" s="4" t="s">
        <v>139</v>
      </c>
      <c r="I21" s="7">
        <f>IF($J21="",4,LEN($J21)-LEN(SUBSTITUTE($J21,",",""))+1)</f>
        <v>4</v>
      </c>
      <c r="J21" s="7" t="s">
        <v>112</v>
      </c>
      <c r="K21" s="7" t="s">
        <v>114</v>
      </c>
      <c r="L21" s="100" t="s">
        <v>195</v>
      </c>
    </row>
    <row r="22" spans="1:12" x14ac:dyDescent="0.25">
      <c r="A22" s="9">
        <v>46045</v>
      </c>
      <c r="B22" s="10" t="s">
        <v>18</v>
      </c>
      <c r="C22" s="10">
        <v>27</v>
      </c>
      <c r="D22" s="10">
        <v>31</v>
      </c>
      <c r="E22" s="64">
        <f>IF(F22&gt;D22,1,IF(F22=D22,0,-1))</f>
        <v>1</v>
      </c>
      <c r="F22" s="72">
        <f>IF(AND($J22="",$K22=""),"",SUMPRODUCT(--ISNUMBER(SEARCH(","&amp;Verpleegkundigen!$C$2:$C$100&amp;",",","&amp;LOWER(SUBSTITUTE(SUBSTITUTE($J22," ",""),CHAR(160),""))&amp;","))*(Verpleegkundigen!$C$2:$C$100&lt;&gt;LOWER(SUBSTITUTE(SUBSTITUTE($K22," ",""),CHAR(160),""))),Verpleegkundigen!$B$2:$B$100)+IF($K22&lt;&gt;"",1,0))</f>
        <v>37</v>
      </c>
      <c r="G22" s="10" t="str">
        <f>IF(AND(C22&lt;&gt;"",D22&lt;&gt;"",C22&gt;D22),"+" &amp; TEXT(C22-D22,"0"),"")</f>
        <v/>
      </c>
      <c r="H22" s="4" t="s">
        <v>139</v>
      </c>
      <c r="I22" s="7">
        <f>IF($J22="",4,LEN($J22)-LEN(SUBSTITUTE($J22,",",""))+1)</f>
        <v>5</v>
      </c>
      <c r="J22" s="10" t="s">
        <v>138</v>
      </c>
      <c r="K22" s="10" t="s">
        <v>117</v>
      </c>
      <c r="L22" s="99"/>
    </row>
    <row r="23" spans="1:12" x14ac:dyDescent="0.25">
      <c r="A23" s="11" t="s">
        <v>53</v>
      </c>
      <c r="B23" s="5"/>
      <c r="C23" s="5"/>
      <c r="D23" s="5"/>
      <c r="E23" s="65"/>
      <c r="F23" s="73" t="str">
        <f>IF(AND($J23="",$K23=""),"",SUMPRODUCT(--ISNUMBER(SEARCH(","&amp;Verpleegkundigen!$C$2:$C$100&amp;",",","&amp;LOWER(SUBSTITUTE(SUBSTITUTE($J23," ",""),CHAR(160),""))&amp;","))*(Verpleegkundigen!$C$2:$C$100&lt;&gt;LOWER(SUBSTITUTE(SUBSTITUTE($K23," ",""),CHAR(160),""))),Verpleegkundigen!$B$2:$B$100)+IF($K23&lt;&gt;"",1,0))</f>
        <v/>
      </c>
      <c r="G23" s="5"/>
      <c r="H23" s="5"/>
      <c r="I23" s="5"/>
      <c r="J23" s="5"/>
      <c r="K23" s="5"/>
      <c r="L23" s="101"/>
    </row>
    <row r="24" spans="1:12" ht="30" x14ac:dyDescent="0.25">
      <c r="A24" s="9">
        <v>46048</v>
      </c>
      <c r="B24" s="10" t="s">
        <v>10</v>
      </c>
      <c r="C24" s="10">
        <v>24</v>
      </c>
      <c r="D24" s="10">
        <v>31</v>
      </c>
      <c r="E24" s="63">
        <f>IF(F24&gt;D24,1,IF(F24=D24,0,-1))</f>
        <v>1</v>
      </c>
      <c r="F24" s="72">
        <f>IF(AND($J24="",$K24=""),"",SUMPRODUCT(--ISNUMBER(SEARCH(","&amp;Verpleegkundigen!$C$2:$C$100&amp;",",","&amp;LOWER(SUBSTITUTE(SUBSTITUTE($J24," ",""),CHAR(160),""))&amp;","))*(Verpleegkundigen!$C$2:$C$100&lt;&gt;LOWER(SUBSTITUTE(SUBSTITUTE($K24," ",""),CHAR(160),""))),Verpleegkundigen!$B$2:$B$100)+IF($K24&lt;&gt;"",1,0))</f>
        <v>41</v>
      </c>
      <c r="G24" s="10" t="str">
        <f>IF(AND(C24&lt;&gt;"",D24&lt;&gt;"",C24&gt;D24),"+" &amp; TEXT(C24-D24,"0"),"")</f>
        <v/>
      </c>
      <c r="H24" s="4" t="s">
        <v>139</v>
      </c>
      <c r="I24" s="7">
        <f>IF($J24="",4,LEN($J24)-LEN(SUBSTITUTE($J24,",",""))+1)</f>
        <v>5</v>
      </c>
      <c r="J24" s="10" t="s">
        <v>190</v>
      </c>
      <c r="K24" s="10" t="s">
        <v>109</v>
      </c>
      <c r="L24" s="99" t="s">
        <v>196</v>
      </c>
    </row>
    <row r="25" spans="1:12" x14ac:dyDescent="0.25">
      <c r="A25" s="6">
        <v>46049</v>
      </c>
      <c r="B25" s="7" t="s">
        <v>12</v>
      </c>
      <c r="C25" s="7">
        <v>29</v>
      </c>
      <c r="D25" s="7">
        <v>31</v>
      </c>
      <c r="E25" s="63">
        <f>IF(F25&gt;D25,1,IF(F25=D25,0,-1))</f>
        <v>0</v>
      </c>
      <c r="F25" s="72">
        <f>IF(AND($J25="",$K25=""),"",SUMPRODUCT(--ISNUMBER(SEARCH(","&amp;Verpleegkundigen!$C$2:$C$100&amp;",",","&amp;LOWER(SUBSTITUTE(SUBSTITUTE($J25," ",""),CHAR(160),""))&amp;","))*(Verpleegkundigen!$C$2:$C$100&lt;&gt;LOWER(SUBSTITUTE(SUBSTITUTE($K25," ",""),CHAR(160),""))),Verpleegkundigen!$B$2:$B$100)+IF($K25&lt;&gt;"",1,0))</f>
        <v>31</v>
      </c>
      <c r="G25" s="7" t="str">
        <f>IF(AND(C25&lt;&gt;"",D25&lt;&gt;"",C25&gt;D25),"+" &amp; TEXT(C25-D25,"0"),"")</f>
        <v/>
      </c>
      <c r="H25" s="4" t="s">
        <v>139</v>
      </c>
      <c r="I25" s="7">
        <f>IF($J25="",4,LEN($J25)-LEN(SUBSTITUTE($J25,",",""))+1)</f>
        <v>4</v>
      </c>
      <c r="J25" s="7" t="s">
        <v>166</v>
      </c>
      <c r="K25" s="7" t="s">
        <v>123</v>
      </c>
      <c r="L25" s="102"/>
    </row>
    <row r="26" spans="1:12" x14ac:dyDescent="0.25">
      <c r="A26" s="9">
        <v>46050</v>
      </c>
      <c r="B26" s="10" t="s">
        <v>14</v>
      </c>
      <c r="C26" s="10">
        <v>27</v>
      </c>
      <c r="D26" s="10">
        <v>31</v>
      </c>
      <c r="E26" s="63">
        <f>IF(F26&gt;D26,1,IF(F26=D26,0,-1))</f>
        <v>-1</v>
      </c>
      <c r="F26" s="72">
        <f>IF(AND($J26="",$K26=""),"",SUMPRODUCT(--ISNUMBER(SEARCH(","&amp;Verpleegkundigen!$C$2:$C$100&amp;",",","&amp;LOWER(SUBSTITUTE(SUBSTITUTE($J26," ",""),CHAR(160),""))&amp;","))*(Verpleegkundigen!$C$2:$C$100&lt;&gt;LOWER(SUBSTITUTE(SUBSTITUTE($K26," ",""),CHAR(160),""))),Verpleegkundigen!$B$2:$B$100)+IF($K26&lt;&gt;"",1,0))</f>
        <v>27</v>
      </c>
      <c r="G26" s="10" t="str">
        <f>IF(AND(C26&lt;&gt;"",D26&lt;&gt;"",C26&gt;D26),"+" &amp; TEXT(C26-D26,"0"),"")</f>
        <v/>
      </c>
      <c r="H26" s="4" t="s">
        <v>139</v>
      </c>
      <c r="I26" s="7">
        <f>IF($J26="",4,LEN($J26)-LEN(SUBSTITUTE($J26,",",""))+1)</f>
        <v>4</v>
      </c>
      <c r="J26" s="10" t="s">
        <v>167</v>
      </c>
      <c r="K26" s="10" t="s">
        <v>111</v>
      </c>
      <c r="L26" s="99"/>
    </row>
    <row r="27" spans="1:12" x14ac:dyDescent="0.25">
      <c r="A27" s="6">
        <v>46051</v>
      </c>
      <c r="B27" s="7" t="s">
        <v>16</v>
      </c>
      <c r="C27" s="7">
        <v>22</v>
      </c>
      <c r="D27" s="7">
        <v>31</v>
      </c>
      <c r="E27" s="63">
        <f>IF(F27&gt;D27,1,IF(F27=D27,0,-1))</f>
        <v>1</v>
      </c>
      <c r="F27" s="72">
        <f>IF(AND($J27="",$K27=""),"",SUMPRODUCT(--ISNUMBER(SEARCH(","&amp;Verpleegkundigen!$C$2:$C$100&amp;",",","&amp;LOWER(SUBSTITUTE(SUBSTITUTE($J27," ",""),CHAR(160),""))&amp;","))*(Verpleegkundigen!$C$2:$C$100&lt;&gt;LOWER(SUBSTITUTE(SUBSTITUTE($K27," ",""),CHAR(160),""))),Verpleegkundigen!$B$2:$B$100)+IF($K27&lt;&gt;"",1,0))</f>
        <v>36</v>
      </c>
      <c r="G27" s="7" t="str">
        <f>IF(AND(C27&lt;&gt;"",D27&lt;&gt;"",C27&gt;D27),"+" &amp; TEXT(C27-D27,"0"),"")</f>
        <v/>
      </c>
      <c r="H27" s="4" t="s">
        <v>192</v>
      </c>
      <c r="I27" s="7">
        <f>IF($J27="",4,LEN($J27)-LEN(SUBSTITUTE($J27,",",""))+1)</f>
        <v>5</v>
      </c>
      <c r="J27" s="7" t="s">
        <v>133</v>
      </c>
      <c r="K27" s="7" t="s">
        <v>114</v>
      </c>
      <c r="L27" s="100"/>
    </row>
    <row r="28" spans="1:12" x14ac:dyDescent="0.25">
      <c r="A28" s="9">
        <v>46052</v>
      </c>
      <c r="B28" s="10" t="s">
        <v>18</v>
      </c>
      <c r="C28" s="10">
        <v>30</v>
      </c>
      <c r="D28" s="10">
        <v>31</v>
      </c>
      <c r="E28" s="69">
        <f>IF(F28&gt;D28,1,IF(F28=D28,0,-1))</f>
        <v>1</v>
      </c>
      <c r="F28" s="74">
        <f>IF(AND($J28="",$K28=""),"",SUMPRODUCT(--ISNUMBER(SEARCH(","&amp;Verpleegkundigen!$C$2:$C$100&amp;",",","&amp;LOWER(SUBSTITUTE(SUBSTITUTE($J28," ",""),CHAR(160),""))&amp;","))*(Verpleegkundigen!$C$2:$C$100&lt;&gt;LOWER(SUBSTITUTE(SUBSTITUTE($K28," ",""),CHAR(160),""))),Verpleegkundigen!$B$2:$B$100)+IF($K28&lt;&gt;"",1,0))</f>
        <v>37</v>
      </c>
      <c r="G28" s="10" t="str">
        <f>IF(AND(C28&lt;&gt;"",D28&lt;&gt;"",C28&gt;D28),"+" &amp; TEXT(C28-D28,"0"),"")</f>
        <v/>
      </c>
      <c r="H28" s="4" t="s">
        <v>139</v>
      </c>
      <c r="I28" s="7">
        <f>IF($J28="",4,LEN($J28)-LEN(SUBSTITUTE($J28,",",""))+1)</f>
        <v>5</v>
      </c>
      <c r="J28" s="10" t="s">
        <v>163</v>
      </c>
      <c r="K28" s="10" t="s">
        <v>123</v>
      </c>
      <c r="L28" s="99"/>
    </row>
    <row r="29" spans="1:12" x14ac:dyDescent="0.25">
      <c r="E29" s="70"/>
    </row>
    <row r="31" spans="1:12" x14ac:dyDescent="0.25">
      <c r="C31" t="s">
        <v>143</v>
      </c>
      <c r="D31" s="10" t="str">
        <f>IF(AND($J31="",$K31=""),"",SUMPRODUCT(--ISNUMBER(SEARCH(","&amp;Verpleegkundigen!$C$2:$C$100&amp;",",","&amp;LOWER(SUBSTITUTE(SUBSTITUTE($J31," ",""),CHAR(160),""))&amp;","))*(Verpleegkundigen!$C$2:$C$100&lt;&gt;LOWER(SUBSTITUTE(SUBSTITUTE($K31," ",""),CHAR(160),""))),Verpleegkundigen!$B$2:$B$100)+IF($K31&lt;&gt;"",1,0))</f>
        <v/>
      </c>
      <c r="E31" s="14"/>
      <c r="F31" s="14"/>
    </row>
    <row r="32" spans="1:12" x14ac:dyDescent="0.25">
      <c r="G32" s="38"/>
    </row>
    <row r="35" spans="4:5" x14ac:dyDescent="0.25">
      <c r="D35" s="38"/>
      <c r="E35" s="46"/>
    </row>
  </sheetData>
  <conditionalFormatting sqref="C2:C28">
    <cfRule type="expression" dxfId="143" priority="3">
      <formula>AND(ISNUMBER($C2),ISNUMBER($D2),$D2&gt;0,$C2&lt;0.8*$D2)</formula>
    </cfRule>
    <cfRule type="expression" dxfId="142" priority="4">
      <formula>AND(ISNUMBER($C2),ISNUMBER($D2),$D2&gt;0,$C2&gt;=0.8*$D2,$C2&lt;$D2)</formula>
    </cfRule>
    <cfRule type="expression" dxfId="141" priority="5">
      <formula>AND(ISNUMBER($C2),ISNUMBER($D2),$D2&gt;0,$C2&gt;=$D2)</formula>
    </cfRule>
  </conditionalFormatting>
  <conditionalFormatting sqref="I2:I28">
    <cfRule type="expression" dxfId="140" priority="6">
      <formula>$I2=2</formula>
    </cfRule>
    <cfRule type="expression" dxfId="139" priority="7">
      <formula>OR($I2=3,$I2=4)</formula>
    </cfRule>
    <cfRule type="expression" dxfId="138" priority="8">
      <formula>$I2&gt;=5</formula>
    </cfRule>
    <cfRule type="expression" dxfId="137" priority="9">
      <formula>$I2=2</formula>
    </cfRule>
    <cfRule type="expression" dxfId="136" priority="10">
      <formula>OR($I2=3,$I2=4)</formula>
    </cfRule>
    <cfRule type="expression" dxfId="135" priority="11">
      <formula>$I2&gt;=5</formula>
    </cfRule>
  </conditionalFormatting>
  <pageMargins left="0.75" right="0.75" top="1" bottom="1" header="0.5" footer="0.5"/>
  <ignoredErrors>
    <ignoredError sqref="E4:E28" formula="1"/>
  </ignoredErrors>
  <extLst>
    <ext xmlns:x14="http://schemas.microsoft.com/office/spreadsheetml/2009/9/main" uri="{78C0D931-6437-407d-A8EE-F0AAD7539E65}">
      <x14:conditionalFormattings>
        <x14:conditionalFormatting xmlns:xm="http://schemas.microsoft.com/office/excel/2006/main">
          <x14:cfRule type="iconSet" priority="1" id="{663478C5-E5D0-433B-9C2E-67D66114DD89}">
            <x14:iconSet iconSet="3Triangles" showValue="0">
              <x14:cfvo type="percent">
                <xm:f>0</xm:f>
              </x14:cfvo>
              <x14:cfvo type="percent">
                <xm:f>33</xm:f>
              </x14:cfvo>
              <x14:cfvo type="percent">
                <xm:f>67</xm:f>
              </x14:cfvo>
            </x14:iconSet>
          </x14:cfRule>
          <xm:sqref>E3:E29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selection activeCell="C6" sqref="C6"/>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4" customWidth="1"/>
    <col min="6" max="6" width="23.7109375" customWidth="1"/>
    <col min="7" max="7" width="14.7109375" customWidth="1"/>
    <col min="8" max="8" width="18.7109375" customWidth="1"/>
    <col min="9" max="9" width="10.7109375" customWidth="1"/>
    <col min="10" max="10" width="40.42578125" bestFit="1" customWidth="1"/>
    <col min="11" max="11" width="13.140625" bestFit="1" customWidth="1"/>
    <col min="12" max="12" width="47.7109375" customWidth="1"/>
  </cols>
  <sheetData>
    <row r="1" spans="1:12" x14ac:dyDescent="0.25">
      <c r="A1" s="1" t="s">
        <v>0</v>
      </c>
      <c r="B1" s="1" t="s">
        <v>1</v>
      </c>
      <c r="C1" s="1" t="s">
        <v>2</v>
      </c>
      <c r="D1" s="1" t="s">
        <v>145</v>
      </c>
      <c r="E1" s="1"/>
      <c r="F1" s="1" t="s">
        <v>147</v>
      </c>
      <c r="G1" s="1" t="s">
        <v>4</v>
      </c>
      <c r="H1" s="1" t="s">
        <v>5</v>
      </c>
      <c r="I1" s="1" t="s">
        <v>6</v>
      </c>
      <c r="J1" s="1" t="s">
        <v>7</v>
      </c>
      <c r="K1" s="1" t="s">
        <v>8</v>
      </c>
      <c r="L1" s="1" t="s">
        <v>144</v>
      </c>
    </row>
    <row r="2" spans="1:12" x14ac:dyDescent="0.25">
      <c r="A2" s="3" t="s">
        <v>54</v>
      </c>
      <c r="B2" s="4"/>
      <c r="C2" s="4"/>
      <c r="D2" s="4"/>
      <c r="E2" s="4"/>
      <c r="F2" s="12" t="str">
        <f>IF(AND($J2="",$K2=""),"",SUMPRODUCT(--ISNUMBER(SEARCH(","&amp;Verpleegkundigen!$C$2:$C$100&amp;",",","&amp;LOWER(SUBSTITUTE(SUBSTITUTE($J2," ",""),CHAR(160),""))&amp;","))*(Verpleegkundigen!$C$2:$C$100&lt;&gt;LOWER(SUBSTITUTE(SUBSTITUTE($K2," ",""),CHAR(160),""))),Verpleegkundigen!$B$2:$B$100)+IF($K2&lt;&gt;"",1,0))</f>
        <v/>
      </c>
      <c r="G2" s="4"/>
      <c r="H2" s="4"/>
      <c r="I2" s="5"/>
      <c r="J2" s="4"/>
      <c r="K2" s="4"/>
      <c r="L2" s="96"/>
    </row>
    <row r="3" spans="1:12" x14ac:dyDescent="0.25">
      <c r="A3" s="6">
        <v>46055</v>
      </c>
      <c r="B3" s="7" t="s">
        <v>10</v>
      </c>
      <c r="C3" s="7">
        <v>28</v>
      </c>
      <c r="D3" s="10">
        <v>31</v>
      </c>
      <c r="E3" s="63">
        <f>IF(F3&gt;D3,1,IF(F3=D3,0,-1))</f>
        <v>1</v>
      </c>
      <c r="F3" s="90">
        <f>IF(AND($J3="",$K3=""),"",SUMPRODUCT(--ISNUMBER(SEARCH(","&amp;Verpleegkundigen!$C$2:$C$100&amp;",",","&amp;LOWER(SUBSTITUTE(SUBSTITUTE($J3," ",""),CHAR(160),""))&amp;","))*(Verpleegkundigen!$C$2:$C$100&lt;&gt;LOWER(SUBSTITUTE(SUBSTITUTE($K3," ",""),CHAR(160),""))),Verpleegkundigen!$B$2:$B$100)+IF($K3&lt;&gt;"",1,0))</f>
        <v>36</v>
      </c>
      <c r="G3" s="7" t="str">
        <f>IF(AND(C3&lt;&gt;"",D3&lt;&gt;"",C3&gt;D3),"+" &amp; TEXT(C3-D3,"0"),"")</f>
        <v/>
      </c>
      <c r="H3" s="8" t="s">
        <v>198</v>
      </c>
      <c r="I3" s="7">
        <f>IF($J3="",5,LEN($J3)-LEN(SUBSTITUTE($J3,",",""))+1)</f>
        <v>5</v>
      </c>
      <c r="J3" s="7" t="s">
        <v>168</v>
      </c>
      <c r="K3" s="7" t="s">
        <v>128</v>
      </c>
      <c r="L3" s="103"/>
    </row>
    <row r="4" spans="1:12" x14ac:dyDescent="0.25">
      <c r="A4" s="9">
        <v>46056</v>
      </c>
      <c r="B4" s="10" t="s">
        <v>12</v>
      </c>
      <c r="C4" s="10">
        <v>22</v>
      </c>
      <c r="D4" s="10">
        <f>IF(AND($J4="",$K4=""),"",SUMPRODUCT(--ISNUMBER(SEARCH(","&amp;Verpleegkundigen!$C$2:$C$100&amp;",",","&amp;LOWER(SUBSTITUTE(SUBSTITUTE($J4," ",""),CHAR(160),""))&amp;","))*(Verpleegkundigen!$C$2:$C$100&lt;&gt;LOWER(SUBSTITUTE(SUBSTITUTE($K4," ",""),CHAR(160),""))),Verpleegkundigen!$B$2:$B$100)+IF($K4&lt;&gt;"",1,0))</f>
        <v>31</v>
      </c>
      <c r="E4" s="69">
        <f>IF(F4&gt;D4,1,IF(F4=D4,0,-1))</f>
        <v>0</v>
      </c>
      <c r="F4" s="91">
        <f>IF(AND($J4="",$K4=""),"",SUMPRODUCT(--ISNUMBER(SEARCH(","&amp;Verpleegkundigen!$C$2:$C$100&amp;",",","&amp;LOWER(SUBSTITUTE(SUBSTITUTE($J4," ",""),CHAR(160),""))&amp;","))*(Verpleegkundigen!$C$2:$C$100&lt;&gt;LOWER(SUBSTITUTE(SUBSTITUTE($K4," ",""),CHAR(160),""))),Verpleegkundigen!$B$2:$B$100)+IF($K4&lt;&gt;"",1,0))</f>
        <v>31</v>
      </c>
      <c r="G4" s="10" t="str">
        <f>IF(AND(C4&lt;&gt;"",D4&lt;&gt;"",C4&gt;D4),"+" &amp; TEXT(C4-D4,"0"),"")</f>
        <v/>
      </c>
      <c r="H4" s="4"/>
      <c r="I4" s="7">
        <f>IF($J4="",5,LEN($J4)-LEN(SUBSTITUTE($J4,",",""))+1)</f>
        <v>4</v>
      </c>
      <c r="J4" s="7" t="s">
        <v>169</v>
      </c>
      <c r="K4" s="10" t="s">
        <v>111</v>
      </c>
      <c r="L4" s="104"/>
    </row>
    <row r="5" spans="1:12" x14ac:dyDescent="0.25">
      <c r="A5" s="6">
        <v>46057</v>
      </c>
      <c r="B5" s="7" t="s">
        <v>14</v>
      </c>
      <c r="C5" s="7">
        <v>26</v>
      </c>
      <c r="D5" s="7">
        <v>31</v>
      </c>
      <c r="E5" s="63">
        <f>IF(F5&gt;D5,1,IF(F5=D5,0,-1))</f>
        <v>1</v>
      </c>
      <c r="F5" s="90">
        <f>IF(AND($J5="",$K5=""),"",SUMPRODUCT(--ISNUMBER(SEARCH(","&amp;Verpleegkundigen!$C$2:$C$100&amp;",",","&amp;LOWER(SUBSTITUTE(SUBSTITUTE($J5," ",""),CHAR(160),""))&amp;","))*(Verpleegkundigen!$C$2:$C$100&lt;&gt;LOWER(SUBSTITUTE(SUBSTITUTE($K5," ",""),CHAR(160),""))),Verpleegkundigen!$B$2:$B$100)+IF($K5&lt;&gt;"",1,0))</f>
        <v>41</v>
      </c>
      <c r="G5" s="7" t="str">
        <f>IF(AND(C5&lt;&gt;"",D5&lt;&gt;"",C5&gt;D5),"+" &amp; TEXT(C5-D5,"0"),"")</f>
        <v/>
      </c>
      <c r="H5" s="8"/>
      <c r="I5" s="7">
        <f>IF($J5="",5,LEN($J5)-LEN(SUBSTITUTE($J5,",",""))+1)</f>
        <v>5</v>
      </c>
      <c r="J5" s="7" t="s">
        <v>170</v>
      </c>
      <c r="K5" s="7" t="s">
        <v>171</v>
      </c>
      <c r="L5" s="103"/>
    </row>
    <row r="6" spans="1:12" ht="30" x14ac:dyDescent="0.25">
      <c r="A6" s="9">
        <v>46058</v>
      </c>
      <c r="B6" s="10" t="s">
        <v>16</v>
      </c>
      <c r="C6" s="10">
        <v>21</v>
      </c>
      <c r="D6" s="10">
        <f>IF(AND($J6="",$K6=""),"",SUMPRODUCT(--ISNUMBER(SEARCH(","&amp;Verpleegkundigen!$C$2:$C$100&amp;",",","&amp;LOWER(SUBSTITUTE(SUBSTITUTE($J6," ",""),CHAR(160),""))&amp;","))*(Verpleegkundigen!$C$2:$C$100&lt;&gt;LOWER(SUBSTITUTE(SUBSTITUTE($K6," ",""),CHAR(160),""))),Verpleegkundigen!$B$2:$B$100)+IF($K6&lt;&gt;"",1,0))</f>
        <v>31</v>
      </c>
      <c r="E6" s="69">
        <f>IF(F6&gt;D6,1,IF(F6=D6,0,-1))</f>
        <v>0</v>
      </c>
      <c r="F6" s="91">
        <f>IF(AND($J6="",$K6=""),"",SUMPRODUCT(--ISNUMBER(SEARCH(","&amp;Verpleegkundigen!$C$2:$C$100&amp;",",","&amp;LOWER(SUBSTITUTE(SUBSTITUTE($J6," ",""),CHAR(160),""))&amp;","))*(Verpleegkundigen!$C$2:$C$100&lt;&gt;LOWER(SUBSTITUTE(SUBSTITUTE($K6," ",""),CHAR(160),""))),Verpleegkundigen!$B$2:$B$100)+IF($K6&lt;&gt;"",1,0))</f>
        <v>31</v>
      </c>
      <c r="G6" s="10" t="str">
        <f>IF(AND(C6&lt;&gt;"",D6&lt;&gt;"",C6&gt;D6),"+" &amp; TEXT(C6-D6,"0"),"")</f>
        <v/>
      </c>
      <c r="H6" s="4"/>
      <c r="I6" s="7">
        <f>IF($J6="",5,LEN($J6)-LEN(SUBSTITUTE($J6,",",""))+1)</f>
        <v>4</v>
      </c>
      <c r="J6" s="10" t="s">
        <v>107</v>
      </c>
      <c r="K6" s="10" t="s">
        <v>109</v>
      </c>
      <c r="L6" s="104" t="s">
        <v>197</v>
      </c>
    </row>
    <row r="7" spans="1:12" x14ac:dyDescent="0.25">
      <c r="A7" s="6">
        <v>46059</v>
      </c>
      <c r="B7" s="7" t="s">
        <v>18</v>
      </c>
      <c r="C7" s="7">
        <v>21</v>
      </c>
      <c r="D7" s="7">
        <v>31</v>
      </c>
      <c r="E7" s="63">
        <f>IF(F7&gt;D7,1,IF(F7=D7,0,-1))</f>
        <v>1</v>
      </c>
      <c r="F7" s="90">
        <f>IF(AND($J7="",$K7=""),"",SUMPRODUCT(--ISNUMBER(SEARCH(","&amp;Verpleegkundigen!$C$2:$C$100&amp;",",","&amp;LOWER(SUBSTITUTE(SUBSTITUTE($J7," ",""),CHAR(160),""))&amp;","))*(Verpleegkundigen!$C$2:$C$100&lt;&gt;LOWER(SUBSTITUTE(SUBSTITUTE($K7," ",""),CHAR(160),""))),Verpleegkundigen!$B$2:$B$100)+IF($K7&lt;&gt;"",1,0))</f>
        <v>41</v>
      </c>
      <c r="G7" s="7" t="str">
        <f>IF(AND(C7&lt;&gt;"",D7&lt;&gt;"",C7&gt;D7),"+" &amp; TEXT(C7-D7,"0"),"")</f>
        <v/>
      </c>
      <c r="H7" s="8"/>
      <c r="I7" s="7">
        <f>IF($J7="",5,LEN($J7)-LEN(SUBSTITUTE($J7,",",""))+1)</f>
        <v>5</v>
      </c>
      <c r="J7" s="7" t="s">
        <v>172</v>
      </c>
      <c r="K7" s="7" t="s">
        <v>117</v>
      </c>
      <c r="L7" s="103"/>
    </row>
    <row r="8" spans="1:12" x14ac:dyDescent="0.25">
      <c r="A8" s="3" t="s">
        <v>55</v>
      </c>
      <c r="B8" s="4"/>
      <c r="C8" s="4"/>
      <c r="D8" s="4"/>
      <c r="E8" s="69"/>
      <c r="F8" s="91" t="str">
        <f>IF(AND($J8="",$K8=""),"",SUMPRODUCT(--ISNUMBER(SEARCH(","&amp;Verpleegkundigen!$C$2:$C$100&amp;",",","&amp;LOWER(SUBSTITUTE(SUBSTITUTE($J8," ",""),CHAR(160),""))&amp;","))*(Verpleegkundigen!$C$2:$C$100&lt;&gt;LOWER(SUBSTITUTE(SUBSTITUTE($K8," ",""),CHAR(160),""))),Verpleegkundigen!$B$2:$B$100)+IF($K8&lt;&gt;"",1,0))</f>
        <v/>
      </c>
      <c r="G8" s="4"/>
      <c r="H8" s="4"/>
      <c r="I8" s="5"/>
      <c r="J8" s="4"/>
      <c r="K8" s="4"/>
      <c r="L8" s="96"/>
    </row>
    <row r="9" spans="1:12" ht="30" x14ac:dyDescent="0.25">
      <c r="A9" s="6">
        <v>46062</v>
      </c>
      <c r="B9" s="7" t="s">
        <v>10</v>
      </c>
      <c r="C9" s="7">
        <v>20</v>
      </c>
      <c r="D9" s="7">
        <v>31</v>
      </c>
      <c r="E9" s="67">
        <f>IF(F9&gt;D9,1,IF(F9=D9,0,-1))</f>
        <v>0</v>
      </c>
      <c r="F9" s="90">
        <f>IF(AND($J9="",$K9=""),"",SUMPRODUCT(--ISNUMBER(SEARCH(","&amp;Verpleegkundigen!$C$2:$C$100&amp;",",","&amp;LOWER(SUBSTITUTE(SUBSTITUTE($J9," ",""),CHAR(160),""))&amp;","))*(Verpleegkundigen!$C$2:$C$100&lt;&gt;LOWER(SUBSTITUTE(SUBSTITUTE($K9," ",""),CHAR(160),""))),Verpleegkundigen!$B$2:$B$100)+IF($K9&lt;&gt;"",1,0))</f>
        <v>31</v>
      </c>
      <c r="G9" s="7" t="str">
        <f>IF(AND(C9&lt;&gt;"",D9&lt;&gt;"",C9&gt;D9),"+" &amp; TEXT(C9-D9,"0"),"")</f>
        <v/>
      </c>
      <c r="H9" s="8"/>
      <c r="I9" s="7">
        <f>IF($J9="",5,LEN($J9)-LEN(SUBSTITUTE($J9,",",""))+1)</f>
        <v>4</v>
      </c>
      <c r="J9" s="7" t="s">
        <v>107</v>
      </c>
      <c r="K9" s="7" t="s">
        <v>109</v>
      </c>
      <c r="L9" s="103" t="s">
        <v>199</v>
      </c>
    </row>
    <row r="10" spans="1:12" x14ac:dyDescent="0.25">
      <c r="A10" s="9">
        <v>46063</v>
      </c>
      <c r="B10" s="10" t="s">
        <v>12</v>
      </c>
      <c r="C10" s="10">
        <v>20</v>
      </c>
      <c r="D10" s="10">
        <v>31</v>
      </c>
      <c r="E10" s="69">
        <f>IF(F10&gt;D10,1,IF(F10=D10,0,-1))</f>
        <v>1</v>
      </c>
      <c r="F10" s="91">
        <f>IF(AND($J10="",$K10=""),"",SUMPRODUCT(--ISNUMBER(SEARCH(","&amp;Verpleegkundigen!$C$2:$C$100&amp;",",","&amp;LOWER(SUBSTITUTE(SUBSTITUTE($J10," ",""),CHAR(160),""))&amp;","))*(Verpleegkundigen!$C$2:$C$100&lt;&gt;LOWER(SUBSTITUTE(SUBSTITUTE($K10," ",""),CHAR(160),""))),Verpleegkundigen!$B$2:$B$100)+IF($K10&lt;&gt;"",1,0))</f>
        <v>51</v>
      </c>
      <c r="G10" s="10" t="str">
        <f>IF(AND(C10&lt;&gt;"",D10&lt;&gt;"",C10&gt;D10),"+" &amp; TEXT(C10-D10,"0"),"")</f>
        <v/>
      </c>
      <c r="H10" s="4"/>
      <c r="I10" s="7">
        <f>IF($J10="",5,LEN($J10)-LEN(SUBSTITUTE($J10,",",""))+1)</f>
        <v>6</v>
      </c>
      <c r="J10" s="10" t="s">
        <v>173</v>
      </c>
      <c r="K10" s="10" t="s">
        <v>114</v>
      </c>
      <c r="L10" s="104"/>
    </row>
    <row r="11" spans="1:12" x14ac:dyDescent="0.25">
      <c r="A11" s="6">
        <v>46064</v>
      </c>
      <c r="B11" s="7" t="s">
        <v>14</v>
      </c>
      <c r="C11" s="7">
        <v>17</v>
      </c>
      <c r="D11" s="7">
        <v>31</v>
      </c>
      <c r="E11" s="63">
        <f>IF(F11&gt;D11,1,IF(F11=D11,0,-1))</f>
        <v>1</v>
      </c>
      <c r="F11" s="90">
        <f>IF(AND($J11="",$K11=""),"",SUMPRODUCT(--ISNUMBER(SEARCH(","&amp;Verpleegkundigen!$C$2:$C$100&amp;",",","&amp;LOWER(SUBSTITUTE(SUBSTITUTE($J11," ",""),CHAR(160),""))&amp;","))*(Verpleegkundigen!$C$2:$C$100&lt;&gt;LOWER(SUBSTITUTE(SUBSTITUTE($K11," ",""),CHAR(160),""))),Verpleegkundigen!$B$2:$B$100)+IF($K11&lt;&gt;"",1,0))</f>
        <v>47</v>
      </c>
      <c r="G11" s="7" t="str">
        <f>IF(AND(C11&lt;&gt;"",D11&lt;&gt;"",C11&gt;D11),"+" &amp; TEXT(C11-D11,"0"),"")</f>
        <v/>
      </c>
      <c r="H11" s="8"/>
      <c r="I11" s="7">
        <f>IF($J11="",5,LEN($J11)-LEN(SUBSTITUTE($J11,",",""))+1)</f>
        <v>6</v>
      </c>
      <c r="J11" s="7" t="s">
        <v>174</v>
      </c>
      <c r="K11" s="7" t="s">
        <v>137</v>
      </c>
      <c r="L11" s="103"/>
    </row>
    <row r="12" spans="1:12" x14ac:dyDescent="0.25">
      <c r="A12" s="9">
        <v>46065</v>
      </c>
      <c r="B12" s="10" t="s">
        <v>16</v>
      </c>
      <c r="C12" s="10">
        <v>17</v>
      </c>
      <c r="D12" s="10">
        <v>31</v>
      </c>
      <c r="E12" s="69">
        <f>IF(F12&gt;D12,1,IF(F12=D12,0,-1))</f>
        <v>-1</v>
      </c>
      <c r="F12" s="91">
        <f>IF(AND($J12="",$K12=""),"",SUMPRODUCT(--ISNUMBER(SEARCH(","&amp;Verpleegkundigen!$C$2:$C$100&amp;",",","&amp;LOWER(SUBSTITUTE(SUBSTITUTE($J12," ",""),CHAR(160),""))&amp;","))*(Verpleegkundigen!$C$2:$C$100&lt;&gt;LOWER(SUBSTITUTE(SUBSTITUTE($K12," ",""),CHAR(160),""))),Verpleegkundigen!$B$2:$B$100)+IF($K12&lt;&gt;"",1,0))</f>
        <v>26</v>
      </c>
      <c r="G12" s="10" t="str">
        <f>IF(AND(C12&lt;&gt;"",D12&lt;&gt;"",C12&gt;D12),"+" &amp; TEXT(C12-D12,"0"),"")</f>
        <v/>
      </c>
      <c r="H12" s="4" t="s">
        <v>198</v>
      </c>
      <c r="I12" s="7">
        <f>IF($J12="",5,LEN($J12)-LEN(SUBSTITUTE($J12,",",""))+1)</f>
        <v>4</v>
      </c>
      <c r="J12" s="10" t="s">
        <v>175</v>
      </c>
      <c r="K12" s="10" t="s">
        <v>128</v>
      </c>
      <c r="L12" s="104"/>
    </row>
    <row r="13" spans="1:12" x14ac:dyDescent="0.25">
      <c r="A13" s="6">
        <v>46066</v>
      </c>
      <c r="B13" s="7" t="s">
        <v>18</v>
      </c>
      <c r="C13" s="7">
        <v>22</v>
      </c>
      <c r="D13" s="7">
        <v>31</v>
      </c>
      <c r="E13" s="63">
        <f>IF(F13&gt;D13,1,IF(F13=D13,0,-1))</f>
        <v>1</v>
      </c>
      <c r="F13" s="90">
        <f>IF(AND($J13="",$K13=""),"",SUMPRODUCT(--ISNUMBER(SEARCH(","&amp;Verpleegkundigen!$C$2:$C$100&amp;",",","&amp;LOWER(SUBSTITUTE(SUBSTITUTE($J13," ",""),CHAR(160),""))&amp;","))*(Verpleegkundigen!$C$2:$C$100&lt;&gt;LOWER(SUBSTITUTE(SUBSTITUTE($K13," ",""),CHAR(160),""))),Verpleegkundigen!$B$2:$B$100)+IF($K13&lt;&gt;"",1,0))</f>
        <v>41</v>
      </c>
      <c r="G13" s="7" t="str">
        <f>IF(AND(C13&lt;&gt;"",D13&lt;&gt;"",C13&gt;D13),"+" &amp; TEXT(C13-D13,"0"),"")</f>
        <v/>
      </c>
      <c r="H13" s="8"/>
      <c r="I13" s="7">
        <f>IF($J13="",5,LEN($J13)-LEN(SUBSTITUTE($J13,",",""))+1)</f>
        <v>5</v>
      </c>
      <c r="J13" s="7" t="s">
        <v>135</v>
      </c>
      <c r="K13" s="7" t="s">
        <v>171</v>
      </c>
      <c r="L13" s="103"/>
    </row>
    <row r="14" spans="1:12" x14ac:dyDescent="0.25">
      <c r="A14" s="3" t="s">
        <v>56</v>
      </c>
      <c r="B14" s="4"/>
      <c r="C14" s="4"/>
      <c r="D14" s="4"/>
      <c r="E14" s="64"/>
      <c r="F14" s="91" t="str">
        <f>IF(AND($J14="",$K14=""),"",SUMPRODUCT(--ISNUMBER(SEARCH(","&amp;Verpleegkundigen!$C$2:$C$100&amp;",",","&amp;LOWER(SUBSTITUTE(SUBSTITUTE($J14," ",""),CHAR(160),""))&amp;","))*(Verpleegkundigen!$C$2:$C$100&lt;&gt;LOWER(SUBSTITUTE(SUBSTITUTE($K14," ",""),CHAR(160),""))),Verpleegkundigen!$B$2:$B$100)+IF($K14&lt;&gt;"",1,0))</f>
        <v/>
      </c>
      <c r="G14" s="4"/>
      <c r="H14" s="4"/>
      <c r="I14" s="5"/>
      <c r="J14" s="4"/>
      <c r="K14" s="4"/>
      <c r="L14" s="96"/>
    </row>
    <row r="15" spans="1:12" x14ac:dyDescent="0.25">
      <c r="A15" s="6">
        <v>46069</v>
      </c>
      <c r="B15" s="7" t="s">
        <v>10</v>
      </c>
      <c r="C15" s="7">
        <v>20</v>
      </c>
      <c r="D15" s="7">
        <v>31</v>
      </c>
      <c r="E15" s="67">
        <f>IF(F15&gt;D15,1,IF(F15=D15,0,-1))</f>
        <v>0</v>
      </c>
      <c r="F15" s="90">
        <f>IF(AND($J15="",$K15=""),"",SUMPRODUCT(--ISNUMBER(SEARCH(","&amp;Verpleegkundigen!$C$2:$C$100&amp;",",","&amp;LOWER(SUBSTITUTE(SUBSTITUTE($J15," ",""),CHAR(160),""))&amp;","))*(Verpleegkundigen!$C$2:$C$100&lt;&gt;LOWER(SUBSTITUTE(SUBSTITUTE($K15," ",""),CHAR(160),""))),Verpleegkundigen!$B$2:$B$100)+IF($K15&lt;&gt;"",1,0))</f>
        <v>31</v>
      </c>
      <c r="G15" s="7" t="str">
        <f>IF(AND(C15&lt;&gt;"",D15&lt;&gt;"",C15&gt;D15),"+" &amp; TEXT(C15-D15,"0"),"")</f>
        <v/>
      </c>
      <c r="H15" s="8"/>
      <c r="I15" s="7">
        <f>IF($J15="",5,LEN($J15)-LEN(SUBSTITUTE($J15,",",""))+1)</f>
        <v>4</v>
      </c>
      <c r="J15" s="7" t="s">
        <v>176</v>
      </c>
      <c r="K15" s="7" t="s">
        <v>117</v>
      </c>
      <c r="L15" s="103"/>
    </row>
    <row r="16" spans="1:12" x14ac:dyDescent="0.25">
      <c r="A16" s="9">
        <v>46070</v>
      </c>
      <c r="B16" s="10" t="s">
        <v>12</v>
      </c>
      <c r="C16" s="10">
        <v>16</v>
      </c>
      <c r="D16" s="10">
        <v>31</v>
      </c>
      <c r="E16" s="69">
        <f>IF(F16&gt;D16,1,IF(F16=D16,0,-1))</f>
        <v>0</v>
      </c>
      <c r="F16" s="91">
        <f>IF(AND($J16="",$K16=""),"",SUMPRODUCT(--ISNUMBER(SEARCH(","&amp;Verpleegkundigen!$C$2:$C$100&amp;",",","&amp;LOWER(SUBSTITUTE(SUBSTITUTE($J16," ",""),CHAR(160),""))&amp;","))*(Verpleegkundigen!$C$2:$C$100&lt;&gt;LOWER(SUBSTITUTE(SUBSTITUTE($K16," ",""),CHAR(160),""))),Verpleegkundigen!$B$2:$B$100)+IF($K16&lt;&gt;"",1,0))</f>
        <v>31</v>
      </c>
      <c r="G16" s="10" t="str">
        <f>IF(AND(C16&lt;&gt;"",D16&lt;&gt;"",C16&gt;D16),"+" &amp; TEXT(C16-D16,"0"),"")</f>
        <v/>
      </c>
      <c r="H16" s="4"/>
      <c r="I16" s="7">
        <f>IF($J16="",5,LEN($J16)-LEN(SUBSTITUTE($J16,",",""))+1)</f>
        <v>4</v>
      </c>
      <c r="J16" s="10" t="s">
        <v>177</v>
      </c>
      <c r="K16" s="10" t="s">
        <v>109</v>
      </c>
      <c r="L16" s="104"/>
    </row>
    <row r="17" spans="1:12" x14ac:dyDescent="0.25">
      <c r="A17" s="6">
        <v>46071</v>
      </c>
      <c r="B17" s="7" t="s">
        <v>14</v>
      </c>
      <c r="C17" s="7">
        <v>22</v>
      </c>
      <c r="D17" s="7">
        <v>31</v>
      </c>
      <c r="E17" s="63">
        <f>IF(F17&gt;D17,1,IF(F17=D17,0,-1))</f>
        <v>1</v>
      </c>
      <c r="F17" s="90">
        <f>IF(AND($J17="",$K17=""),"",SUMPRODUCT(--ISNUMBER(SEARCH(","&amp;Verpleegkundigen!$C$2:$C$100&amp;",",","&amp;LOWER(SUBSTITUTE(SUBSTITUTE($J17," ",""),CHAR(160),""))&amp;","))*(Verpleegkundigen!$C$2:$C$100&lt;&gt;LOWER(SUBSTITUTE(SUBSTITUTE($K17," ",""),CHAR(160),""))),Verpleegkundigen!$B$2:$B$100)+IF($K17&lt;&gt;"",1,0))</f>
        <v>37</v>
      </c>
      <c r="G17" s="7" t="str">
        <f>IF(AND(C17&lt;&gt;"",D17&lt;&gt;"",C17&gt;D17),"+" &amp; TEXT(C17-D17,"0"),"")</f>
        <v/>
      </c>
      <c r="H17" s="8"/>
      <c r="I17" s="7">
        <f>IF($J17="",5,LEN($J17)-LEN(SUBSTITUTE($J17,",",""))+1)</f>
        <v>5</v>
      </c>
      <c r="J17" s="7" t="s">
        <v>178</v>
      </c>
      <c r="K17" s="7" t="s">
        <v>128</v>
      </c>
      <c r="L17" s="103"/>
    </row>
    <row r="18" spans="1:12" x14ac:dyDescent="0.25">
      <c r="A18" s="9">
        <v>46072</v>
      </c>
      <c r="B18" s="10" t="s">
        <v>16</v>
      </c>
      <c r="C18" s="10">
        <v>24</v>
      </c>
      <c r="D18" s="10">
        <v>31</v>
      </c>
      <c r="E18" s="69">
        <f>IF(F18&gt;D18,1,IF(F18=D18,0,-1))</f>
        <v>0</v>
      </c>
      <c r="F18" s="91">
        <f>IF(AND($J18="",$K18=""),"",SUMPRODUCT(--ISNUMBER(SEARCH(","&amp;Verpleegkundigen!$C$2:$C$100&amp;",",","&amp;LOWER(SUBSTITUTE(SUBSTITUTE($J18," ",""),CHAR(160),""))&amp;","))*(Verpleegkundigen!$C$2:$C$100&lt;&gt;LOWER(SUBSTITUTE(SUBSTITUTE($K18," ",""),CHAR(160),""))),Verpleegkundigen!$B$2:$B$100)+IF($K18&lt;&gt;"",1,0))</f>
        <v>31</v>
      </c>
      <c r="G18" s="10" t="str">
        <f>IF(AND(C18&lt;&gt;"",D18&lt;&gt;"",C18&gt;D18),"+" &amp; TEXT(C18-D18,"0"),"")</f>
        <v/>
      </c>
      <c r="H18" s="4"/>
      <c r="I18" s="7">
        <f>IF($J18="",5,LEN($J18)-LEN(SUBSTITUTE($J18,",",""))+1)</f>
        <v>4</v>
      </c>
      <c r="J18" s="10" t="s">
        <v>179</v>
      </c>
      <c r="K18" s="10" t="s">
        <v>137</v>
      </c>
      <c r="L18" s="104"/>
    </row>
    <row r="19" spans="1:12" x14ac:dyDescent="0.25">
      <c r="A19" s="6">
        <v>46073</v>
      </c>
      <c r="B19" s="7" t="s">
        <v>18</v>
      </c>
      <c r="C19" s="7">
        <v>16</v>
      </c>
      <c r="D19" s="7">
        <v>31</v>
      </c>
      <c r="E19" s="67">
        <f>IF(F19&gt;D19,1,IF(F19=D19,0,-1))</f>
        <v>0</v>
      </c>
      <c r="F19" s="90">
        <f>IF(AND($J19="",$K19=""),"",SUMPRODUCT(--ISNUMBER(SEARCH(","&amp;Verpleegkundigen!$C$2:$C$100&amp;",",","&amp;LOWER(SUBSTITUTE(SUBSTITUTE($J19," ",""),CHAR(160),""))&amp;","))*(Verpleegkundigen!$C$2:$C$100&lt;&gt;LOWER(SUBSTITUTE(SUBSTITUTE($K19," ",""),CHAR(160),""))),Verpleegkundigen!$B$2:$B$100)+IF($K19&lt;&gt;"",1,0))</f>
        <v>31</v>
      </c>
      <c r="G19" s="7" t="str">
        <f>IF(AND(C19&lt;&gt;"",D19&lt;&gt;"",C19&gt;D19),"+" &amp; TEXT(C19-D19,"0"),"")</f>
        <v/>
      </c>
      <c r="H19" s="8"/>
      <c r="I19" s="7">
        <f>IF($J19="",5,LEN($J19)-LEN(SUBSTITUTE($J19,",",""))+1)</f>
        <v>4</v>
      </c>
      <c r="J19" s="7" t="s">
        <v>180</v>
      </c>
      <c r="K19" s="7" t="s">
        <v>171</v>
      </c>
      <c r="L19" s="103"/>
    </row>
    <row r="20" spans="1:12" x14ac:dyDescent="0.25">
      <c r="A20" s="3" t="s">
        <v>57</v>
      </c>
      <c r="B20" s="4"/>
      <c r="C20" s="4"/>
      <c r="D20" s="4"/>
      <c r="E20" s="64"/>
      <c r="F20" s="91" t="str">
        <f>IF(AND($J20="",$K20=""),"",SUMPRODUCT(--ISNUMBER(SEARCH(","&amp;Verpleegkundigen!$C$2:$C$100&amp;",",","&amp;LOWER(SUBSTITUTE(SUBSTITUTE($J20," ",""),CHAR(160),""))&amp;","))*(Verpleegkundigen!$C$2:$C$100&lt;&gt;LOWER(SUBSTITUTE(SUBSTITUTE($K20," ",""),CHAR(160),""))),Verpleegkundigen!$B$2:$B$100)+IF($K20&lt;&gt;"",1,0))</f>
        <v/>
      </c>
      <c r="G20" s="4"/>
      <c r="H20" s="4"/>
      <c r="I20" s="5"/>
      <c r="J20" s="4"/>
      <c r="K20" s="4"/>
      <c r="L20" s="96"/>
    </row>
    <row r="21" spans="1:12" x14ac:dyDescent="0.25">
      <c r="A21" s="6">
        <v>46076</v>
      </c>
      <c r="B21" s="7" t="s">
        <v>10</v>
      </c>
      <c r="C21" s="7">
        <v>16</v>
      </c>
      <c r="D21" s="7">
        <v>31</v>
      </c>
      <c r="E21" s="63">
        <f>IF(F21&gt;D21,1,IF(F21=D21,0,-1))</f>
        <v>0</v>
      </c>
      <c r="F21" s="90">
        <f>IF(AND($J21="",$K21=""),"",SUMPRODUCT(--ISNUMBER(SEARCH(","&amp;Verpleegkundigen!$C$2:$C$100&amp;",",","&amp;LOWER(SUBSTITUTE(SUBSTITUTE($J21," ",""),CHAR(160),""))&amp;","))*(Verpleegkundigen!$C$2:$C$100&lt;&gt;LOWER(SUBSTITUTE(SUBSTITUTE($K21," ",""),CHAR(160),""))),Verpleegkundigen!$B$2:$B$100)+IF($K21&lt;&gt;"",1,0))</f>
        <v>31</v>
      </c>
      <c r="G21" s="7" t="str">
        <f>IF(AND(C21&lt;&gt;"",D21&lt;&gt;"",C21&gt;D21),"+" &amp; TEXT(C21-D21,"0"),"")</f>
        <v/>
      </c>
      <c r="H21" s="8"/>
      <c r="I21" s="7">
        <f>IF($J21="",5,LEN($J21)-LEN(SUBSTITUTE($J21,",",""))+1)</f>
        <v>4</v>
      </c>
      <c r="J21" s="7" t="s">
        <v>112</v>
      </c>
      <c r="K21" s="7" t="s">
        <v>114</v>
      </c>
      <c r="L21" s="103"/>
    </row>
    <row r="22" spans="1:12" x14ac:dyDescent="0.25">
      <c r="A22" s="9">
        <v>46077</v>
      </c>
      <c r="B22" s="10" t="s">
        <v>12</v>
      </c>
      <c r="C22" s="10">
        <v>18</v>
      </c>
      <c r="D22" s="10">
        <v>31</v>
      </c>
      <c r="E22" s="69">
        <f>IF(F22&gt;D22,1,IF(F22=D22,0,-1))</f>
        <v>1</v>
      </c>
      <c r="F22" s="91">
        <f>IF(AND($J22="",$K22=""),"",SUMPRODUCT(--ISNUMBER(SEARCH(","&amp;Verpleegkundigen!$C$2:$C$100&amp;",",","&amp;LOWER(SUBSTITUTE(SUBSTITUTE($J22," ",""),CHAR(160),""))&amp;","))*(Verpleegkundigen!$C$2:$C$100&lt;&gt;LOWER(SUBSTITUTE(SUBSTITUTE($K22," ",""),CHAR(160),""))),Verpleegkundigen!$B$2:$B$100)+IF($K22&lt;&gt;"",1,0))</f>
        <v>51</v>
      </c>
      <c r="G22" s="10" t="str">
        <f>IF(AND(C22&lt;&gt;"",D22&lt;&gt;"",C22&gt;D22),"+" &amp; TEXT(C22-D22,"0"),"")</f>
        <v/>
      </c>
      <c r="H22" s="4"/>
      <c r="I22" s="7">
        <f>IF($J22="",5,LEN($J22)-LEN(SUBSTITUTE($J22,",",""))+1)</f>
        <v>6</v>
      </c>
      <c r="J22" s="10" t="s">
        <v>181</v>
      </c>
      <c r="K22" s="10" t="s">
        <v>123</v>
      </c>
      <c r="L22" s="104"/>
    </row>
    <row r="23" spans="1:12" x14ac:dyDescent="0.25">
      <c r="A23" s="6">
        <v>46078</v>
      </c>
      <c r="B23" s="7" t="s">
        <v>14</v>
      </c>
      <c r="C23" s="7">
        <v>17</v>
      </c>
      <c r="D23" s="7">
        <v>31</v>
      </c>
      <c r="E23" s="63">
        <f>IF(F23&gt;D23,1,IF(F23=D23,0,-1))</f>
        <v>1</v>
      </c>
      <c r="F23" s="90">
        <f>IF(AND($J23="",$K23=""),"",SUMPRODUCT(--ISNUMBER(SEARCH(","&amp;Verpleegkundigen!$C$2:$C$100&amp;",",","&amp;LOWER(SUBSTITUTE(SUBSTITUTE($J23," ",""),CHAR(160),""))&amp;","))*(Verpleegkundigen!$C$2:$C$100&lt;&gt;LOWER(SUBSTITUTE(SUBSTITUTE($K23," ",""),CHAR(160),""))),Verpleegkundigen!$B$2:$B$100)+IF($K23&lt;&gt;"",1,0))</f>
        <v>37</v>
      </c>
      <c r="G23" s="7" t="str">
        <f>IF(AND(C23&lt;&gt;"",D23&lt;&gt;"",C23&gt;D23),"+" &amp; TEXT(C23-D23,"0"),"")</f>
        <v/>
      </c>
      <c r="H23" s="8"/>
      <c r="I23" s="7">
        <f>IF($J23="",5,LEN($J23)-LEN(SUBSTITUTE($J23,",",""))+1)</f>
        <v>5</v>
      </c>
      <c r="J23" s="7" t="s">
        <v>182</v>
      </c>
      <c r="K23" s="7" t="s">
        <v>111</v>
      </c>
      <c r="L23" s="103"/>
    </row>
    <row r="24" spans="1:12" x14ac:dyDescent="0.25">
      <c r="A24" s="9">
        <v>46079</v>
      </c>
      <c r="B24" s="10" t="s">
        <v>16</v>
      </c>
      <c r="C24" s="10">
        <v>21</v>
      </c>
      <c r="D24" s="10">
        <v>31</v>
      </c>
      <c r="E24" s="64">
        <f>IF(F24&gt;D24,1,IF(F24=D24,0,-1))</f>
        <v>0</v>
      </c>
      <c r="F24" s="91">
        <f>IF(AND($J24="",$K24=""),"",SUMPRODUCT(--ISNUMBER(SEARCH(","&amp;Verpleegkundigen!$C$2:$C$100&amp;",",","&amp;LOWER(SUBSTITUTE(SUBSTITUTE($J24," ",""),CHAR(160),""))&amp;","))*(Verpleegkundigen!$C$2:$C$100&lt;&gt;LOWER(SUBSTITUTE(SUBSTITUTE($K24," ",""),CHAR(160),""))),Verpleegkundigen!$B$2:$B$100)+IF($K24&lt;&gt;"",1,0))</f>
        <v>31</v>
      </c>
      <c r="G24" s="10" t="str">
        <f>IF(AND(C24&lt;&gt;"",D24&lt;&gt;"",C24&gt;D24),"+" &amp; TEXT(C24-D24,"0"),"")</f>
        <v/>
      </c>
      <c r="H24" s="4"/>
      <c r="I24" s="7">
        <f>IF($J24="",5,LEN($J24)-LEN(SUBSTITUTE($J24,",",""))+1)</f>
        <v>4</v>
      </c>
      <c r="J24" s="10" t="s">
        <v>183</v>
      </c>
      <c r="K24" s="10" t="s">
        <v>128</v>
      </c>
      <c r="L24" s="104"/>
    </row>
    <row r="25" spans="1:12" x14ac:dyDescent="0.25">
      <c r="A25" s="6">
        <v>46080</v>
      </c>
      <c r="B25" s="7" t="s">
        <v>18</v>
      </c>
      <c r="C25" s="7">
        <v>10</v>
      </c>
      <c r="D25" s="7">
        <v>31</v>
      </c>
      <c r="E25" s="63">
        <f>IF(F25&gt;D25,1,IF(F25=D25,0,-1))</f>
        <v>1</v>
      </c>
      <c r="F25" s="90">
        <f>IF(AND($J25="",$K25=""),"",SUMPRODUCT(--ISNUMBER(SEARCH(","&amp;Verpleegkundigen!$C$2:$C$100&amp;",",","&amp;LOWER(SUBSTITUTE(SUBSTITUTE($J25," ",""),CHAR(160),""))&amp;","))*(Verpleegkundigen!$C$2:$C$100&lt;&gt;LOWER(SUBSTITUTE(SUBSTITUTE($K25," ",""),CHAR(160),""))),Verpleegkundigen!$B$2:$B$100)+IF($K25&lt;&gt;"",1,0))</f>
        <v>41</v>
      </c>
      <c r="G25" s="7" t="str">
        <f>IF(AND(C25&lt;&gt;"",D25&lt;&gt;"",C25&gt;D25),"+" &amp; TEXT(C25-D25,"0"),"")</f>
        <v/>
      </c>
      <c r="H25" s="8"/>
      <c r="I25" s="7">
        <f>IF($J25="",5,LEN($J25)-LEN(SUBSTITUTE($J25,",",""))+1)</f>
        <v>5</v>
      </c>
      <c r="J25" s="7" t="s">
        <v>184</v>
      </c>
      <c r="K25" s="7" t="s">
        <v>171</v>
      </c>
      <c r="L25" s="103"/>
    </row>
    <row r="26" spans="1:12" x14ac:dyDescent="0.25">
      <c r="E26" s="63"/>
    </row>
    <row r="27" spans="1:12" x14ac:dyDescent="0.25">
      <c r="E27" s="67"/>
    </row>
  </sheetData>
  <conditionalFormatting sqref="C2:C25">
    <cfRule type="expression" dxfId="134" priority="3">
      <formula>AND(ISNUMBER($C2),ISNUMBER($D2),$D2&gt;0,$C2&lt;0.8*$D2)</formula>
    </cfRule>
    <cfRule type="expression" dxfId="133" priority="4">
      <formula>AND(ISNUMBER($C2),ISNUMBER($D2),$D2&gt;0,$C2&gt;=0.8*$D2,$C2&lt;$D2)</formula>
    </cfRule>
    <cfRule type="expression" dxfId="132" priority="5">
      <formula>AND(ISNUMBER($C2),ISNUMBER($D2),$D2&gt;0,$C2&gt;=$D2)</formula>
    </cfRule>
  </conditionalFormatting>
  <conditionalFormatting sqref="I2:I25">
    <cfRule type="expression" dxfId="131" priority="6">
      <formula>$I2=2</formula>
    </cfRule>
    <cfRule type="expression" dxfId="130" priority="7">
      <formula>OR($I2=3,$I2=4)</formula>
    </cfRule>
    <cfRule type="expression" dxfId="129" priority="8">
      <formula>$I2&gt;=5</formula>
    </cfRule>
    <cfRule type="expression" dxfId="128" priority="9">
      <formula>$I2=2</formula>
    </cfRule>
    <cfRule type="expression" dxfId="127" priority="10">
      <formula>OR($I2=3,$I2=4)</formula>
    </cfRule>
    <cfRule type="expression" dxfId="126" priority="11">
      <formula>$I2&gt;=5</formula>
    </cfRule>
  </conditionalFormatting>
  <pageMargins left="0.75" right="0.75" top="1" bottom="1" header="0.5" footer="0.5"/>
  <ignoredErrors>
    <ignoredError sqref="E3:E7 E9:E13 E15:E19 E21:E25" formula="1"/>
  </ignoredErrors>
  <extLst>
    <ext xmlns:x14="http://schemas.microsoft.com/office/spreadsheetml/2009/9/main" uri="{78C0D931-6437-407d-A8EE-F0AAD7539E65}">
      <x14:conditionalFormattings>
        <x14:conditionalFormatting xmlns:xm="http://schemas.microsoft.com/office/excel/2006/main">
          <x14:cfRule type="iconSet" priority="1" id="{D0DD4ED3-7303-4A3A-BC5D-FF1CEB799447}">
            <x14:iconSet iconSet="3Triangles" showValue="0">
              <x14:cfvo type="percent">
                <xm:f>0</xm:f>
              </x14:cfvo>
              <x14:cfvo type="formula">
                <xm:f>0</xm:f>
              </x14:cfvo>
              <x14:cfvo type="formula">
                <xm:f>1</xm:f>
              </x14:cfvo>
            </x14:iconSet>
          </x14:cfRule>
          <xm:sqref>E3:E27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D27" sqref="D27"/>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4"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28515625" bestFit="1" customWidth="1"/>
  </cols>
  <sheetData>
    <row r="1" spans="1:15" x14ac:dyDescent="0.25">
      <c r="A1" s="1" t="s">
        <v>0</v>
      </c>
      <c r="B1" s="1" t="s">
        <v>1</v>
      </c>
      <c r="C1" s="1" t="s">
        <v>2</v>
      </c>
      <c r="D1" s="1" t="s">
        <v>145</v>
      </c>
      <c r="E1" s="1"/>
      <c r="F1" s="1" t="s">
        <v>146</v>
      </c>
      <c r="G1" s="1" t="s">
        <v>4</v>
      </c>
      <c r="H1" s="1" t="s">
        <v>5</v>
      </c>
      <c r="I1" s="1" t="s">
        <v>6</v>
      </c>
      <c r="J1" s="1" t="s">
        <v>7</v>
      </c>
      <c r="K1" s="1" t="s">
        <v>8</v>
      </c>
      <c r="L1" s="41" t="s">
        <v>144</v>
      </c>
    </row>
    <row r="2" spans="1:15" x14ac:dyDescent="0.25">
      <c r="A2" s="3" t="s">
        <v>58</v>
      </c>
      <c r="B2" s="4"/>
      <c r="C2" s="4"/>
      <c r="D2" s="4"/>
      <c r="E2" s="4"/>
      <c r="F2" s="4"/>
      <c r="G2" s="4"/>
      <c r="H2" s="4"/>
      <c r="I2" s="5"/>
      <c r="J2" s="4"/>
      <c r="K2" s="15"/>
      <c r="L2" s="40"/>
    </row>
    <row r="3" spans="1:15" x14ac:dyDescent="0.25">
      <c r="A3" s="6">
        <v>46083</v>
      </c>
      <c r="B3" s="7" t="s">
        <v>10</v>
      </c>
      <c r="C3" s="7">
        <v>4</v>
      </c>
      <c r="D3" s="7" t="str">
        <f>IF(AND($J3="",$K3=""),"",SUMPRODUCT(--ISNUMBER(SEARCH(","&amp;Verpleegkundigen!$C$2:$C$100&amp;",",","&amp;LOWER(SUBSTITUTE(SUBSTITUTE($J3," ",""),CHAR(160),""))&amp;","))*(Verpleegkundigen!$C$2:$C$100&lt;&gt;LOWER(SUBSTITUTE(SUBSTITUTE($K3," ",""),CHAR(160),""))),Verpleegkundigen!$B$2:$B$100)+IF($K3&lt;&gt;"",1,0))</f>
        <v/>
      </c>
      <c r="E3" s="63">
        <f>IF(F3&gt;D3,1,IF(F3=D3,0,-1))</f>
        <v>0</v>
      </c>
      <c r="F3" s="92"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16"/>
      <c r="L3" s="18"/>
    </row>
    <row r="4" spans="1:15" x14ac:dyDescent="0.25">
      <c r="A4" s="9">
        <v>46084</v>
      </c>
      <c r="B4" s="10" t="s">
        <v>12</v>
      </c>
      <c r="C4" s="10">
        <v>6</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7"/>
      <c r="L4" s="19"/>
    </row>
    <row r="5" spans="1:15" x14ac:dyDescent="0.25">
      <c r="A5" s="6">
        <v>46085</v>
      </c>
      <c r="B5" s="7" t="s">
        <v>14</v>
      </c>
      <c r="C5" s="7">
        <v>5</v>
      </c>
      <c r="D5" s="7" t="str">
        <f>IF(AND($J5="",$K5=""),"",SUMPRODUCT(--ISNUMBER(SEARCH(","&amp;Verpleegkundigen!$C$2:$C$100&amp;",",","&amp;LOWER(SUBSTITUTE(SUBSTITUTE($J5," ",""),CHAR(160),""))&amp;","))*(Verpleegkundigen!$C$2:$C$100&lt;&gt;LOWER(SUBSTITUTE(SUBSTITUTE($K5," ",""),CHAR(160),""))),Verpleegkundigen!$B$2:$B$100)+IF($K5&lt;&gt;"",1,0))</f>
        <v/>
      </c>
      <c r="E5" s="63">
        <f>IF(F5&gt;D5,1,IF(F5=D5,0,-1))</f>
        <v>0</v>
      </c>
      <c r="F5" s="92"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16"/>
      <c r="L5" s="18"/>
    </row>
    <row r="6" spans="1:15" x14ac:dyDescent="0.25">
      <c r="A6" s="9">
        <v>46086</v>
      </c>
      <c r="B6" s="10" t="s">
        <v>16</v>
      </c>
      <c r="C6" s="10">
        <v>7</v>
      </c>
      <c r="D6" s="10" t="str">
        <f>IF(AND($J6="",$K6=""),"",SUMPRODUCT(--ISNUMBER(SEARCH(","&amp;Verpleegkundigen!$C$2:$C$100&amp;",",","&amp;LOWER(SUBSTITUTE(SUBSTITUTE($J6," ",""),CHAR(160),""))&amp;","))*(Verpleegkundigen!$C$2:$C$100&lt;&gt;LOWER(SUBSTITUTE(SUBSTITUTE($K6," ",""),CHAR(160),""))),Verpleegkundigen!$B$2:$B$100)+IF($K6&lt;&gt;"",1,0))</f>
        <v/>
      </c>
      <c r="E6" s="69">
        <f>IF(F6&gt;D6,1,IF(F6=D6,0,-1))</f>
        <v>0</v>
      </c>
      <c r="F6" s="72" t="str">
        <f>IF(AND($J6="",$K6=""),"",SUMPRODUCT(--ISNUMBER(SEARCH(","&amp;Verpleegkundigen!$C$2:$C$100&amp;",",","&amp;LOWER(SUBSTITUTE(SUBSTITUTE($J6," ",""),CHAR(160),""))&amp;","))*(Verpleegkundigen!$C$2:$C$100&lt;&gt;LOWER(SUBSTITUTE(SUBSTITUTE($K6," ",""),CHAR(160),""))),Verpleegkundigen!$B$2:$B$100)+IF($K6&lt;&gt;"",1,0))</f>
        <v/>
      </c>
      <c r="G6" s="10" t="str">
        <f>IF(AND(C6&lt;&gt;"",D6&lt;&gt;"",C6&gt;D6),"+" &amp; TEXT(C6-D6,"0"),"")</f>
        <v/>
      </c>
      <c r="H6" s="4"/>
      <c r="I6" s="7">
        <f>IF($J6="",5,LEN($J6)-LEN(SUBSTITUTE($J6,",",""))+1)</f>
        <v>5</v>
      </c>
      <c r="J6" s="10"/>
      <c r="K6" s="17"/>
      <c r="L6" s="19"/>
    </row>
    <row r="7" spans="1:15" x14ac:dyDescent="0.25">
      <c r="A7" s="6">
        <v>46087</v>
      </c>
      <c r="B7" s="7" t="s">
        <v>18</v>
      </c>
      <c r="C7" s="7">
        <v>5</v>
      </c>
      <c r="D7" s="7" t="str">
        <f>IF(AND($J7="",$K7=""),"",SUMPRODUCT(--ISNUMBER(SEARCH(","&amp;Verpleegkundigen!$C$2:$C$100&amp;",",","&amp;LOWER(SUBSTITUTE(SUBSTITUTE($J7," ",""),CHAR(160),""))&amp;","))*(Verpleegkundigen!$C$2:$C$100&lt;&gt;LOWER(SUBSTITUTE(SUBSTITUTE($K7," ",""),CHAR(160),""))),Verpleegkundigen!$B$2:$B$100)+IF($K7&lt;&gt;"",1,0))</f>
        <v/>
      </c>
      <c r="E7" s="63">
        <f>IF(F7&gt;D7,1,IF(F7=D7,0,-1))</f>
        <v>0</v>
      </c>
      <c r="F7" s="92" t="str">
        <f>IF(AND($J7="",$K7=""),"",SUMPRODUCT(--ISNUMBER(SEARCH(","&amp;Verpleegkundigen!$C$2:$C$100&amp;",",","&amp;LOWER(SUBSTITUTE(SUBSTITUTE($J7," ",""),CHAR(160),""))&amp;","))*(Verpleegkundigen!$C$2:$C$100&lt;&gt;LOWER(SUBSTITUTE(SUBSTITUTE($K7," ",""),CHAR(160),""))),Verpleegkundigen!$B$2:$B$100)+IF($K7&lt;&gt;"",1,0))</f>
        <v/>
      </c>
      <c r="G7" s="7" t="str">
        <f>IF(AND(C7&lt;&gt;"",D7&lt;&gt;"",C7&gt;D7),"+" &amp; TEXT(C7-D7,"0"),"")</f>
        <v/>
      </c>
      <c r="H7" s="8"/>
      <c r="I7" s="7">
        <f>IF($J7="",5,LEN($J7)-LEN(SUBSTITUTE($J7,",",""))+1)</f>
        <v>5</v>
      </c>
      <c r="J7" s="7"/>
      <c r="K7" s="16"/>
      <c r="L7" s="18"/>
    </row>
    <row r="8" spans="1:15" x14ac:dyDescent="0.25">
      <c r="A8" s="3" t="s">
        <v>59</v>
      </c>
      <c r="B8" s="4"/>
      <c r="C8" s="4"/>
      <c r="D8" s="4"/>
      <c r="E8" s="69"/>
      <c r="F8" s="72" t="str">
        <f>IF(AND($J8="",$K8=""),"",SUMPRODUCT(--ISNUMBER(SEARCH(","&amp;Verpleegkundigen!$C$2:$C$100&amp;",",","&amp;LOWER(SUBSTITUTE(SUBSTITUTE($J8," ",""),CHAR(160),""))&amp;","))*(Verpleegkundigen!$C$2:$C$100&lt;&gt;LOWER(SUBSTITUTE(SUBSTITUTE($K8," ",""),CHAR(160),""))),Verpleegkundigen!$B$2:$B$100)+IF($K8&lt;&gt;"",1,0))</f>
        <v/>
      </c>
      <c r="G8" s="4"/>
      <c r="H8" s="4"/>
      <c r="I8" s="5"/>
      <c r="J8" s="4"/>
      <c r="K8" s="15"/>
      <c r="L8" s="40"/>
    </row>
    <row r="9" spans="1:15" x14ac:dyDescent="0.25">
      <c r="A9" s="6">
        <v>46090</v>
      </c>
      <c r="B9" s="7" t="s">
        <v>10</v>
      </c>
      <c r="C9" s="7">
        <v>15</v>
      </c>
      <c r="D9" s="7" t="str">
        <f>IF(AND($J9="",$K9=""),"",SUMPRODUCT(--ISNUMBER(SEARCH(","&amp;Verpleegkundigen!$C$2:$C$100&amp;",",","&amp;LOWER(SUBSTITUTE(SUBSTITUTE($J9," ",""),CHAR(160),""))&amp;","))*(Verpleegkundigen!$C$2:$C$100&lt;&gt;LOWER(SUBSTITUTE(SUBSTITUTE($K9," ",""),CHAR(160),""))),Verpleegkundigen!$B$2:$B$100)+IF($K9&lt;&gt;"",1,0))</f>
        <v/>
      </c>
      <c r="E9" s="67">
        <f>IF(F9&gt;D9,1,IF(F9=D9,0,-1))</f>
        <v>0</v>
      </c>
      <c r="F9" s="92" t="str">
        <f>IF(AND($J9="",$K9=""),"",SUMPRODUCT(--ISNUMBER(SEARCH(","&amp;Verpleegkundigen!$C$2:$C$100&amp;",",","&amp;LOWER(SUBSTITUTE(SUBSTITUTE($J9," ",""),CHAR(160),""))&amp;","))*(Verpleegkundigen!$C$2:$C$100&lt;&gt;LOWER(SUBSTITUTE(SUBSTITUTE($K9," ",""),CHAR(160),""))),Verpleegkundigen!$B$2:$B$100)+IF($K9&lt;&gt;"",1,0))</f>
        <v/>
      </c>
      <c r="G9" s="7" t="str">
        <f>IF(AND(C9&lt;&gt;"",D9&lt;&gt;"",C9&gt;D9),"+" &amp; TEXT(C9-D9,"0"),"")</f>
        <v/>
      </c>
      <c r="H9" s="8"/>
      <c r="I9" s="7">
        <f>IF($J9="",5,LEN($J9)-LEN(SUBSTITUTE($J9,",",""))+1)</f>
        <v>5</v>
      </c>
      <c r="J9" s="7"/>
      <c r="K9" s="16"/>
      <c r="L9" s="18"/>
    </row>
    <row r="10" spans="1:15" x14ac:dyDescent="0.25">
      <c r="A10" s="9">
        <v>46091</v>
      </c>
      <c r="B10" s="10" t="s">
        <v>12</v>
      </c>
      <c r="C10" s="10">
        <v>8</v>
      </c>
      <c r="D10" s="10" t="str">
        <f>IF(AND($J10="",$K10=""),"",SUMPRODUCT(--ISNUMBER(SEARCH(","&amp;Verpleegkundigen!$C$2:$C$100&amp;",",","&amp;LOWER(SUBSTITUTE(SUBSTITUTE($J10," ",""),CHAR(160),""))&amp;","))*(Verpleegkundigen!$C$2:$C$100&lt;&gt;LOWER(SUBSTITUTE(SUBSTITUTE($K10," ",""),CHAR(160),""))),Verpleegkundigen!$B$2:$B$100)+IF($K10&lt;&gt;"",1,0))</f>
        <v/>
      </c>
      <c r="E10" s="69">
        <f>IF(F10&gt;D10,1,IF(F10=D10,0,-1))</f>
        <v>0</v>
      </c>
      <c r="F10" s="72" t="str">
        <f>IF(AND($J10="",$K10=""),"",SUMPRODUCT(--ISNUMBER(SEARCH(","&amp;Verpleegkundigen!$C$2:$C$100&amp;",",","&amp;LOWER(SUBSTITUTE(SUBSTITUTE($J10," ",""),CHAR(160),""))&amp;","))*(Verpleegkundigen!$C$2:$C$100&lt;&gt;LOWER(SUBSTITUTE(SUBSTITUTE($K10," ",""),CHAR(160),""))),Verpleegkundigen!$B$2:$B$100)+IF($K10&lt;&gt;"",1,0))</f>
        <v/>
      </c>
      <c r="G10" s="10" t="str">
        <f>IF(AND(C10&lt;&gt;"",D10&lt;&gt;"",C10&gt;D10),"+" &amp; TEXT(C10-D10,"0"),"")</f>
        <v/>
      </c>
      <c r="H10" s="4"/>
      <c r="I10" s="7">
        <f>IF($J10="",5,LEN($J10)-LEN(SUBSTITUTE($J10,",",""))+1)</f>
        <v>5</v>
      </c>
      <c r="J10" s="10"/>
      <c r="K10" s="17"/>
      <c r="L10" s="19"/>
    </row>
    <row r="11" spans="1:15" x14ac:dyDescent="0.25">
      <c r="A11" s="6">
        <v>46092</v>
      </c>
      <c r="B11" s="7" t="s">
        <v>14</v>
      </c>
      <c r="C11" s="7">
        <v>10</v>
      </c>
      <c r="D11" s="7" t="str">
        <f>IF(AND($J11="",$K11=""),"",SUMPRODUCT(--ISNUMBER(SEARCH(","&amp;Verpleegkundigen!$C$2:$C$100&amp;",",","&amp;LOWER(SUBSTITUTE(SUBSTITUTE($J11," ",""),CHAR(160),""))&amp;","))*(Verpleegkundigen!$C$2:$C$100&lt;&gt;LOWER(SUBSTITUTE(SUBSTITUTE($K11," ",""),CHAR(160),""))),Verpleegkundigen!$B$2:$B$100)+IF($K11&lt;&gt;"",1,0))</f>
        <v/>
      </c>
      <c r="E11" s="63">
        <f>IF(F11&gt;D11,1,IF(F11=D11,0,-1))</f>
        <v>0</v>
      </c>
      <c r="F11" s="92" t="str">
        <f>IF(AND($J11="",$K11=""),"",SUMPRODUCT(--ISNUMBER(SEARCH(","&amp;Verpleegkundigen!$C$2:$C$100&amp;",",","&amp;LOWER(SUBSTITUTE(SUBSTITUTE($J11," ",""),CHAR(160),""))&amp;","))*(Verpleegkundigen!$C$2:$C$100&lt;&gt;LOWER(SUBSTITUTE(SUBSTITUTE($K11," ",""),CHAR(160),""))),Verpleegkundigen!$B$2:$B$100)+IF($K11&lt;&gt;"",1,0))</f>
        <v/>
      </c>
      <c r="G11" s="7" t="str">
        <f>IF(AND(C11&lt;&gt;"",D11&lt;&gt;"",C11&gt;D11),"+" &amp; TEXT(C11-D11,"0"),"")</f>
        <v/>
      </c>
      <c r="H11" s="8"/>
      <c r="I11" s="7">
        <f>IF($J11="",5,LEN($J11)-LEN(SUBSTITUTE($J11,",",""))+1)</f>
        <v>5</v>
      </c>
      <c r="J11" s="7"/>
      <c r="K11" s="16"/>
      <c r="L11" s="18"/>
      <c r="O11" s="42"/>
    </row>
    <row r="12" spans="1:15" x14ac:dyDescent="0.25">
      <c r="A12" s="9">
        <v>46093</v>
      </c>
      <c r="B12" s="10" t="s">
        <v>16</v>
      </c>
      <c r="C12" s="10">
        <v>6</v>
      </c>
      <c r="D12" s="10" t="str">
        <f>IF(AND($J12="",$K12=""),"",SUMPRODUCT(--ISNUMBER(SEARCH(","&amp;Verpleegkundigen!$C$2:$C$100&amp;",",","&amp;LOWER(SUBSTITUTE(SUBSTITUTE($J12," ",""),CHAR(160),""))&amp;","))*(Verpleegkundigen!$C$2:$C$100&lt;&gt;LOWER(SUBSTITUTE(SUBSTITUTE($K12," ",""),CHAR(160),""))),Verpleegkundigen!$B$2:$B$100)+IF($K12&lt;&gt;"",1,0))</f>
        <v/>
      </c>
      <c r="E12" s="69">
        <f>IF(F12&gt;D12,1,IF(F12=D12,0,-1))</f>
        <v>0</v>
      </c>
      <c r="F12" s="72" t="str">
        <f>IF(AND($J12="",$K12=""),"",SUMPRODUCT(--ISNUMBER(SEARCH(","&amp;Verpleegkundigen!$C$2:$C$100&amp;",",","&amp;LOWER(SUBSTITUTE(SUBSTITUTE($J12," ",""),CHAR(160),""))&amp;","))*(Verpleegkundigen!$C$2:$C$100&lt;&gt;LOWER(SUBSTITUTE(SUBSTITUTE($K12," ",""),CHAR(160),""))),Verpleegkundigen!$B$2:$B$100)+IF($K12&lt;&gt;"",1,0))</f>
        <v/>
      </c>
      <c r="G12" s="10" t="str">
        <f>IF(AND(C12&lt;&gt;"",D12&lt;&gt;"",C12&gt;D12),"+" &amp; TEXT(C12-D12,"0"),"")</f>
        <v/>
      </c>
      <c r="H12" s="4"/>
      <c r="I12" s="7">
        <f>IF($J12="",5,LEN($J12)-LEN(SUBSTITUTE($J12,",",""))+1)</f>
        <v>5</v>
      </c>
      <c r="J12" s="10"/>
      <c r="K12" s="17"/>
      <c r="L12" s="25"/>
    </row>
    <row r="13" spans="1:15" x14ac:dyDescent="0.25">
      <c r="A13" s="6">
        <v>46094</v>
      </c>
      <c r="B13" s="7" t="s">
        <v>18</v>
      </c>
      <c r="C13" s="7">
        <v>14</v>
      </c>
      <c r="D13" s="7" t="str">
        <f>IF(AND($J13="",$K13=""),"",SUMPRODUCT(--ISNUMBER(SEARCH(","&amp;Verpleegkundigen!$C$2:$C$100&amp;",",","&amp;LOWER(SUBSTITUTE(SUBSTITUTE($J13," ",""),CHAR(160),""))&amp;","))*(Verpleegkundigen!$C$2:$C$100&lt;&gt;LOWER(SUBSTITUTE(SUBSTITUTE($K13," ",""),CHAR(160),""))),Verpleegkundigen!$B$2:$B$100)+IF($K13&lt;&gt;"",1,0))</f>
        <v/>
      </c>
      <c r="E13" s="63">
        <f>IF(F13&gt;D13,1,IF(F13=D13,0,-1))</f>
        <v>0</v>
      </c>
      <c r="F13" s="92" t="str">
        <f>IF(AND($J13="",$K13=""),"",SUMPRODUCT(--ISNUMBER(SEARCH(","&amp;Verpleegkundigen!$C$2:$C$100&amp;",",","&amp;LOWER(SUBSTITUTE(SUBSTITUTE($J13," ",""),CHAR(160),""))&amp;","))*(Verpleegkundigen!$C$2:$C$100&lt;&gt;LOWER(SUBSTITUTE(SUBSTITUTE($K13," ",""),CHAR(160),""))),Verpleegkundigen!$B$2:$B$100)+IF($K13&lt;&gt;"",1,0))</f>
        <v/>
      </c>
      <c r="G13" s="7" t="str">
        <f>IF(AND(C13&lt;&gt;"",D13&lt;&gt;"",C13&gt;D13),"+" &amp; TEXT(C13-D13,"0"),"")</f>
        <v/>
      </c>
      <c r="H13" s="8"/>
      <c r="I13" s="7">
        <f>IF($J13="",5,LEN($J13)-LEN(SUBSTITUTE($J13,",",""))+1)</f>
        <v>5</v>
      </c>
      <c r="J13" s="7"/>
      <c r="K13" s="16"/>
      <c r="L13" s="18"/>
    </row>
    <row r="14" spans="1:15" x14ac:dyDescent="0.25">
      <c r="A14" s="3" t="s">
        <v>60</v>
      </c>
      <c r="B14" s="4"/>
      <c r="C14" s="4"/>
      <c r="D14" s="4"/>
      <c r="E14" s="64"/>
      <c r="F14" s="72" t="str">
        <f>IF(AND($J14="",$K14=""),"",SUMPRODUCT(--ISNUMBER(SEARCH(","&amp;Verpleegkundigen!$C$2:$C$100&amp;",",","&amp;LOWER(SUBSTITUTE(SUBSTITUTE($J14," ",""),CHAR(160),""))&amp;","))*(Verpleegkundigen!$C$2:$C$100&lt;&gt;LOWER(SUBSTITUTE(SUBSTITUTE($K14," ",""),CHAR(160),""))),Verpleegkundigen!$B$2:$B$100)+IF($K14&lt;&gt;"",1,0))</f>
        <v/>
      </c>
      <c r="G14" s="4"/>
      <c r="H14" s="4"/>
      <c r="I14" s="5"/>
      <c r="J14" s="4"/>
      <c r="K14" s="15"/>
      <c r="L14" s="40"/>
    </row>
    <row r="15" spans="1:15" x14ac:dyDescent="0.25">
      <c r="A15" s="6">
        <v>46097</v>
      </c>
      <c r="B15" s="7" t="s">
        <v>10</v>
      </c>
      <c r="C15" s="7">
        <v>7</v>
      </c>
      <c r="D15" s="7" t="str">
        <f>IF(AND($J15="",$K15=""),"",SUMPRODUCT(--ISNUMBER(SEARCH(","&amp;Verpleegkundigen!$C$2:$C$100&amp;",",","&amp;LOWER(SUBSTITUTE(SUBSTITUTE($J15," ",""),CHAR(160),""))&amp;","))*(Verpleegkundigen!$C$2:$C$100&lt;&gt;LOWER(SUBSTITUTE(SUBSTITUTE($K15," ",""),CHAR(160),""))),Verpleegkundigen!$B$2:$B$100)+IF($K15&lt;&gt;"",1,0))</f>
        <v/>
      </c>
      <c r="E15" s="67">
        <f>IF(F15&gt;D15,1,IF(F15=D15,0,-1))</f>
        <v>0</v>
      </c>
      <c r="F15" s="92" t="str">
        <f>IF(AND($J15="",$K15=""),"",SUMPRODUCT(--ISNUMBER(SEARCH(","&amp;Verpleegkundigen!$C$2:$C$100&amp;",",","&amp;LOWER(SUBSTITUTE(SUBSTITUTE($J15," ",""),CHAR(160),""))&amp;","))*(Verpleegkundigen!$C$2:$C$100&lt;&gt;LOWER(SUBSTITUTE(SUBSTITUTE($K15," ",""),CHAR(160),""))),Verpleegkundigen!$B$2:$B$100)+IF($K15&lt;&gt;"",1,0))</f>
        <v/>
      </c>
      <c r="G15" s="7" t="str">
        <f>IF(AND(C15&lt;&gt;"",D15&lt;&gt;"",C15&gt;D15),"+" &amp; TEXT(C15-D15,"0"),"")</f>
        <v/>
      </c>
      <c r="H15" s="8"/>
      <c r="I15" s="7">
        <f>IF($J15="",5,LEN($J15)-LEN(SUBSTITUTE($J15,",",""))+1)</f>
        <v>5</v>
      </c>
      <c r="J15" s="7"/>
      <c r="K15" s="16"/>
      <c r="L15" s="18"/>
    </row>
    <row r="16" spans="1:15" x14ac:dyDescent="0.25">
      <c r="A16" s="9">
        <v>46098</v>
      </c>
      <c r="B16" s="10" t="s">
        <v>12</v>
      </c>
      <c r="C16" s="10">
        <v>5</v>
      </c>
      <c r="D16" s="10" t="str">
        <f>IF(AND($J16="",$K16=""),"",SUMPRODUCT(--ISNUMBER(SEARCH(","&amp;Verpleegkundigen!$C$2:$C$100&amp;",",","&amp;LOWER(SUBSTITUTE(SUBSTITUTE($J16," ",""),CHAR(160),""))&amp;","))*(Verpleegkundigen!$C$2:$C$100&lt;&gt;LOWER(SUBSTITUTE(SUBSTITUTE($K16," ",""),CHAR(160),""))),Verpleegkundigen!$B$2:$B$100)+IF($K16&lt;&gt;"",1,0))</f>
        <v/>
      </c>
      <c r="E16" s="69">
        <f>IF(F16&gt;D16,1,IF(F16=D16,0,-1))</f>
        <v>0</v>
      </c>
      <c r="F16" s="72" t="str">
        <f>IF(AND($J16="",$K16=""),"",SUMPRODUCT(--ISNUMBER(SEARCH(","&amp;Verpleegkundigen!$C$2:$C$100&amp;",",","&amp;LOWER(SUBSTITUTE(SUBSTITUTE($J16," ",""),CHAR(160),""))&amp;","))*(Verpleegkundigen!$C$2:$C$100&lt;&gt;LOWER(SUBSTITUTE(SUBSTITUTE($K16," ",""),CHAR(160),""))),Verpleegkundigen!$B$2:$B$100)+IF($K16&lt;&gt;"",1,0))</f>
        <v/>
      </c>
      <c r="G16" s="10" t="str">
        <f>IF(AND(C16&lt;&gt;"",D16&lt;&gt;"",C16&gt;D16),"+" &amp; TEXT(C16-D16,"0"),"")</f>
        <v/>
      </c>
      <c r="H16" s="4"/>
      <c r="I16" s="7">
        <f>IF($J16="",5,LEN($J16)-LEN(SUBSTITUTE($J16,",",""))+1)</f>
        <v>5</v>
      </c>
      <c r="J16" s="10"/>
      <c r="K16" s="17"/>
      <c r="L16" s="19"/>
      <c r="O16" s="38"/>
    </row>
    <row r="17" spans="1:12" x14ac:dyDescent="0.25">
      <c r="A17" s="6">
        <v>46099</v>
      </c>
      <c r="B17" s="7" t="s">
        <v>14</v>
      </c>
      <c r="C17" s="7">
        <v>4</v>
      </c>
      <c r="D17" s="7" t="str">
        <f>IF(AND($J17="",$K17=""),"",SUMPRODUCT(--ISNUMBER(SEARCH(","&amp;Verpleegkundigen!$C$2:$C$100&amp;",",","&amp;LOWER(SUBSTITUTE(SUBSTITUTE($J17," ",""),CHAR(160),""))&amp;","))*(Verpleegkundigen!$C$2:$C$100&lt;&gt;LOWER(SUBSTITUTE(SUBSTITUTE($K17," ",""),CHAR(160),""))),Verpleegkundigen!$B$2:$B$100)+IF($K17&lt;&gt;"",1,0))</f>
        <v/>
      </c>
      <c r="E17" s="63">
        <f>IF(F17&gt;D17,1,IF(F17=D17,0,-1))</f>
        <v>0</v>
      </c>
      <c r="F17" s="92" t="str">
        <f>IF(AND($J17="",$K17=""),"",SUMPRODUCT(--ISNUMBER(SEARCH(","&amp;Verpleegkundigen!$C$2:$C$100&amp;",",","&amp;LOWER(SUBSTITUTE(SUBSTITUTE($J17," ",""),CHAR(160),""))&amp;","))*(Verpleegkundigen!$C$2:$C$100&lt;&gt;LOWER(SUBSTITUTE(SUBSTITUTE($K17," ",""),CHAR(160),""))),Verpleegkundigen!$B$2:$B$100)+IF($K17&lt;&gt;"",1,0))</f>
        <v/>
      </c>
      <c r="G17" s="7" t="str">
        <f>IF(AND(C17&lt;&gt;"",D17&lt;&gt;"",C17&gt;D17),"+" &amp; TEXT(C17-D17,"0"),"")</f>
        <v/>
      </c>
      <c r="H17" s="8"/>
      <c r="I17" s="7">
        <f>IF($J17="",5,LEN($J17)-LEN(SUBSTITUTE($J17,",",""))+1)</f>
        <v>5</v>
      </c>
      <c r="J17" s="7"/>
      <c r="K17" s="16"/>
      <c r="L17" s="18"/>
    </row>
    <row r="18" spans="1:12" x14ac:dyDescent="0.25">
      <c r="A18" s="9">
        <v>46100</v>
      </c>
      <c r="B18" s="10" t="s">
        <v>16</v>
      </c>
      <c r="C18" s="10">
        <v>3</v>
      </c>
      <c r="D18" s="10" t="str">
        <f>IF(AND($J18="",$K18=""),"",SUMPRODUCT(--ISNUMBER(SEARCH(","&amp;Verpleegkundigen!$C$2:$C$100&amp;",",","&amp;LOWER(SUBSTITUTE(SUBSTITUTE($J18," ",""),CHAR(160),""))&amp;","))*(Verpleegkundigen!$C$2:$C$100&lt;&gt;LOWER(SUBSTITUTE(SUBSTITUTE($K18," ",""),CHAR(160),""))),Verpleegkundigen!$B$2:$B$100)+IF($K18&lt;&gt;"",1,0))</f>
        <v/>
      </c>
      <c r="E18" s="69">
        <f>IF(F18&gt;D18,1,IF(F18=D18,0,-1))</f>
        <v>0</v>
      </c>
      <c r="F18" s="72" t="str">
        <f>IF(AND($J18="",$K18=""),"",SUMPRODUCT(--ISNUMBER(SEARCH(","&amp;Verpleegkundigen!$C$2:$C$100&amp;",",","&amp;LOWER(SUBSTITUTE(SUBSTITUTE($J18," ",""),CHAR(160),""))&amp;","))*(Verpleegkundigen!$C$2:$C$100&lt;&gt;LOWER(SUBSTITUTE(SUBSTITUTE($K18," ",""),CHAR(160),""))),Verpleegkundigen!$B$2:$B$100)+IF($K18&lt;&gt;"",1,0))</f>
        <v/>
      </c>
      <c r="G18" s="10" t="str">
        <f>IF(AND(C18&lt;&gt;"",D18&lt;&gt;"",C18&gt;D18),"+" &amp; TEXT(C18-D18,"0"),"")</f>
        <v/>
      </c>
      <c r="H18" s="4"/>
      <c r="I18" s="7">
        <f>IF($J18="",5,LEN($J18)-LEN(SUBSTITUTE($J18,",",""))+1)</f>
        <v>5</v>
      </c>
      <c r="J18" s="10"/>
      <c r="K18" s="17"/>
      <c r="L18" s="19"/>
    </row>
    <row r="19" spans="1:12" x14ac:dyDescent="0.25">
      <c r="A19" s="6">
        <v>46101</v>
      </c>
      <c r="B19" s="7" t="s">
        <v>18</v>
      </c>
      <c r="C19" s="7">
        <v>8</v>
      </c>
      <c r="D19" s="7" t="str">
        <f>IF(AND($J19="",$K19=""),"",SUMPRODUCT(--ISNUMBER(SEARCH(","&amp;Verpleegkundigen!$C$2:$C$100&amp;",",","&amp;LOWER(SUBSTITUTE(SUBSTITUTE($J19," ",""),CHAR(160),""))&amp;","))*(Verpleegkundigen!$C$2:$C$100&lt;&gt;LOWER(SUBSTITUTE(SUBSTITUTE($K19," ",""),CHAR(160),""))),Verpleegkundigen!$B$2:$B$100)+IF($K19&lt;&gt;"",1,0))</f>
        <v/>
      </c>
      <c r="E19" s="67">
        <f>IF(F19&gt;D19,1,IF(F19=D19,0,-1))</f>
        <v>0</v>
      </c>
      <c r="F19" s="92" t="str">
        <f>IF(AND($J19="",$K19=""),"",SUMPRODUCT(--ISNUMBER(SEARCH(","&amp;Verpleegkundigen!$C$2:$C$100&amp;",",","&amp;LOWER(SUBSTITUTE(SUBSTITUTE($J19," ",""),CHAR(160),""))&amp;","))*(Verpleegkundigen!$C$2:$C$100&lt;&gt;LOWER(SUBSTITUTE(SUBSTITUTE($K19," ",""),CHAR(160),""))),Verpleegkundigen!$B$2:$B$100)+IF($K19&lt;&gt;"",1,0))</f>
        <v/>
      </c>
      <c r="G19" s="7" t="str">
        <f>IF(AND(C19&lt;&gt;"",D19&lt;&gt;"",C19&gt;D19),"+" &amp; TEXT(C19-D19,"0"),"")</f>
        <v/>
      </c>
      <c r="H19" s="8"/>
      <c r="I19" s="7">
        <f>IF($J19="",5,LEN($J19)-LEN(SUBSTITUTE($J19,",",""))+1)</f>
        <v>5</v>
      </c>
      <c r="J19" s="7"/>
      <c r="K19" s="16"/>
      <c r="L19" s="18"/>
    </row>
    <row r="20" spans="1:12" x14ac:dyDescent="0.25">
      <c r="A20" s="3" t="s">
        <v>61</v>
      </c>
      <c r="B20" s="4"/>
      <c r="C20" s="4"/>
      <c r="D20" s="4"/>
      <c r="E20" s="64"/>
      <c r="F20" s="72" t="str">
        <f>IF(AND($J20="",$K20=""),"",SUMPRODUCT(--ISNUMBER(SEARCH(","&amp;Verpleegkundigen!$C$2:$C$100&amp;",",","&amp;LOWER(SUBSTITUTE(SUBSTITUTE($J20," ",""),CHAR(160),""))&amp;","))*(Verpleegkundigen!$C$2:$C$100&lt;&gt;LOWER(SUBSTITUTE(SUBSTITUTE($K20," ",""),CHAR(160),""))),Verpleegkundigen!$B$2:$B$100)+IF($K20&lt;&gt;"",1,0))</f>
        <v/>
      </c>
      <c r="G20" s="4"/>
      <c r="H20" s="4"/>
      <c r="I20" s="5"/>
      <c r="J20" s="4"/>
      <c r="K20" s="15"/>
      <c r="L20" s="40"/>
    </row>
    <row r="21" spans="1:12" x14ac:dyDescent="0.25">
      <c r="A21" s="6">
        <v>46104</v>
      </c>
      <c r="B21" s="7" t="s">
        <v>10</v>
      </c>
      <c r="C21" s="7">
        <v>2</v>
      </c>
      <c r="D21" s="7" t="str">
        <f>IF(AND($J21="",$K21=""),"",SUMPRODUCT(--ISNUMBER(SEARCH(","&amp;Verpleegkundigen!$C$2:$C$100&amp;",",","&amp;LOWER(SUBSTITUTE(SUBSTITUTE($J21," ",""),CHAR(160),""))&amp;","))*(Verpleegkundigen!$C$2:$C$100&lt;&gt;LOWER(SUBSTITUTE(SUBSTITUTE($K21," ",""),CHAR(160),""))),Verpleegkundigen!$B$2:$B$100)+IF($K21&lt;&gt;"",1,0))</f>
        <v/>
      </c>
      <c r="E21" s="63">
        <f>IF(F21&gt;D21,1,IF(F21=D21,0,-1))</f>
        <v>0</v>
      </c>
      <c r="F21" s="92" t="str">
        <f>IF(AND($J21="",$K21=""),"",SUMPRODUCT(--ISNUMBER(SEARCH(","&amp;Verpleegkundigen!$C$2:$C$100&amp;",",","&amp;LOWER(SUBSTITUTE(SUBSTITUTE($J21," ",""),CHAR(160),""))&amp;","))*(Verpleegkundigen!$C$2:$C$100&lt;&gt;LOWER(SUBSTITUTE(SUBSTITUTE($K21," ",""),CHAR(160),""))),Verpleegkundigen!$B$2:$B$100)+IF($K21&lt;&gt;"",1,0))</f>
        <v/>
      </c>
      <c r="G21" s="7" t="str">
        <f>IF(AND(C21&lt;&gt;"",D21&lt;&gt;"",C21&gt;D21),"+" &amp; TEXT(C21-D21,"0"),"")</f>
        <v/>
      </c>
      <c r="H21" s="8"/>
      <c r="I21" s="7">
        <f>IF($J21="",5,LEN($J21)-LEN(SUBSTITUTE($J21,",",""))+1)</f>
        <v>5</v>
      </c>
      <c r="J21" s="7"/>
      <c r="K21" s="16"/>
      <c r="L21" s="18"/>
    </row>
    <row r="22" spans="1:12" x14ac:dyDescent="0.25">
      <c r="A22" s="9">
        <v>46105</v>
      </c>
      <c r="B22" s="10" t="s">
        <v>12</v>
      </c>
      <c r="C22" s="10">
        <v>1</v>
      </c>
      <c r="D22" s="10" t="str">
        <f>IF(AND($J22="",$K22=""),"",SUMPRODUCT(--ISNUMBER(SEARCH(","&amp;Verpleegkundigen!$C$2:$C$100&amp;",",","&amp;LOWER(SUBSTITUTE(SUBSTITUTE($J22," ",""),CHAR(160),""))&amp;","))*(Verpleegkundigen!$C$2:$C$100&lt;&gt;LOWER(SUBSTITUTE(SUBSTITUTE($K22," ",""),CHAR(160),""))),Verpleegkundigen!$B$2:$B$100)+IF($K22&lt;&gt;"",1,0))</f>
        <v/>
      </c>
      <c r="E22" s="69">
        <f>IF(F22&gt;D22,1,IF(F22=D22,0,-1))</f>
        <v>0</v>
      </c>
      <c r="F22" s="72" t="str">
        <f>IF(AND($J22="",$K22=""),"",SUMPRODUCT(--ISNUMBER(SEARCH(","&amp;Verpleegkundigen!$C$2:$C$100&amp;",",","&amp;LOWER(SUBSTITUTE(SUBSTITUTE($J22," ",""),CHAR(160),""))&amp;","))*(Verpleegkundigen!$C$2:$C$100&lt;&gt;LOWER(SUBSTITUTE(SUBSTITUTE($K22," ",""),CHAR(160),""))),Verpleegkundigen!$B$2:$B$100)+IF($K22&lt;&gt;"",1,0))</f>
        <v/>
      </c>
      <c r="G22" s="10" t="str">
        <f>IF(AND(C22&lt;&gt;"",D22&lt;&gt;"",C22&gt;D22),"+" &amp; TEXT(C22-D22,"0"),"")</f>
        <v/>
      </c>
      <c r="H22" s="4"/>
      <c r="I22" s="7">
        <f>IF($J22="",5,LEN($J22)-LEN(SUBSTITUTE($J22,",",""))+1)</f>
        <v>5</v>
      </c>
      <c r="J22" s="10"/>
      <c r="K22" s="17"/>
      <c r="L22" s="19"/>
    </row>
    <row r="23" spans="1:12" x14ac:dyDescent="0.25">
      <c r="A23" s="6">
        <v>46106</v>
      </c>
      <c r="B23" s="7" t="s">
        <v>14</v>
      </c>
      <c r="C23" s="7">
        <v>1</v>
      </c>
      <c r="D23" s="7" t="str">
        <f>IF(AND($J23="",$K23=""),"",SUMPRODUCT(--ISNUMBER(SEARCH(","&amp;Verpleegkundigen!$C$2:$C$100&amp;",",","&amp;LOWER(SUBSTITUTE(SUBSTITUTE($J23," ",""),CHAR(160),""))&amp;","))*(Verpleegkundigen!$C$2:$C$100&lt;&gt;LOWER(SUBSTITUTE(SUBSTITUTE($K23," ",""),CHAR(160),""))),Verpleegkundigen!$B$2:$B$100)+IF($K23&lt;&gt;"",1,0))</f>
        <v/>
      </c>
      <c r="E23" s="63">
        <f>IF(F23&gt;D23,1,IF(F23=D23,0,-1))</f>
        <v>0</v>
      </c>
      <c r="F23" s="92" t="str">
        <f>IF(AND($J23="",$K23=""),"",SUMPRODUCT(--ISNUMBER(SEARCH(","&amp;Verpleegkundigen!$C$2:$C$100&amp;",",","&amp;LOWER(SUBSTITUTE(SUBSTITUTE($J23," ",""),CHAR(160),""))&amp;","))*(Verpleegkundigen!$C$2:$C$100&lt;&gt;LOWER(SUBSTITUTE(SUBSTITUTE($K23," ",""),CHAR(160),""))),Verpleegkundigen!$B$2:$B$100)+IF($K23&lt;&gt;"",1,0))</f>
        <v/>
      </c>
      <c r="G23" s="7" t="str">
        <f>IF(AND(C23&lt;&gt;"",D23&lt;&gt;"",C23&gt;D23),"+" &amp; TEXT(C23-D23,"0"),"")</f>
        <v/>
      </c>
      <c r="H23" s="8"/>
      <c r="I23" s="7">
        <f>IF($J23="",5,LEN($J23)-LEN(SUBSTITUTE($J23,",",""))+1)</f>
        <v>5</v>
      </c>
      <c r="J23" s="7"/>
      <c r="K23" s="16"/>
      <c r="L23" s="18"/>
    </row>
    <row r="24" spans="1:12" x14ac:dyDescent="0.25">
      <c r="A24" s="9">
        <v>46107</v>
      </c>
      <c r="B24" s="10" t="s">
        <v>16</v>
      </c>
      <c r="C24" s="10">
        <v>0</v>
      </c>
      <c r="D24" s="10" t="str">
        <f>IF(AND($J24="",$K24=""),"",SUMPRODUCT(--ISNUMBER(SEARCH(","&amp;Verpleegkundigen!$C$2:$C$100&amp;",",","&amp;LOWER(SUBSTITUTE(SUBSTITUTE($J24," ",""),CHAR(160),""))&amp;","))*(Verpleegkundigen!$C$2:$C$100&lt;&gt;LOWER(SUBSTITUTE(SUBSTITUTE($K24," ",""),CHAR(160),""))),Verpleegkundigen!$B$2:$B$100)+IF($K24&lt;&gt;"",1,0))</f>
        <v/>
      </c>
      <c r="E24" s="64">
        <f>IF(F24&gt;D24,1,IF(F24=D24,0,-1))</f>
        <v>0</v>
      </c>
      <c r="F24" s="72" t="str">
        <f>IF(AND($J24="",$K24=""),"",SUMPRODUCT(--ISNUMBER(SEARCH(","&amp;Verpleegkundigen!$C$2:$C$100&amp;",",","&amp;LOWER(SUBSTITUTE(SUBSTITUTE($J24," ",""),CHAR(160),""))&amp;","))*(Verpleegkundigen!$C$2:$C$100&lt;&gt;LOWER(SUBSTITUTE(SUBSTITUTE($K24," ",""),CHAR(160),""))),Verpleegkundigen!$B$2:$B$100)+IF($K24&lt;&gt;"",1,0))</f>
        <v/>
      </c>
      <c r="G24" s="10" t="str">
        <f>IF(AND(C24&lt;&gt;"",D24&lt;&gt;"",C24&gt;D24),"+" &amp; TEXT(C24-D24,"0"),"")</f>
        <v/>
      </c>
      <c r="H24" s="4"/>
      <c r="I24" s="7">
        <f>IF($J24="",5,LEN($J24)-LEN(SUBSTITUTE($J24,",",""))+1)</f>
        <v>5</v>
      </c>
      <c r="J24" s="10"/>
      <c r="K24" s="17"/>
      <c r="L24" s="19"/>
    </row>
    <row r="25" spans="1:12" x14ac:dyDescent="0.25">
      <c r="A25" s="6">
        <v>46108</v>
      </c>
      <c r="B25" s="7" t="s">
        <v>18</v>
      </c>
      <c r="C25" s="7">
        <v>2</v>
      </c>
      <c r="D25" s="7" t="str">
        <f>IF(AND($J25="",$K25=""),"",SUMPRODUCT(--ISNUMBER(SEARCH(","&amp;Verpleegkundigen!$C$2:$C$100&amp;",",","&amp;LOWER(SUBSTITUTE(SUBSTITUTE($J25," ",""),CHAR(160),""))&amp;","))*(Verpleegkundigen!$C$2:$C$100&lt;&gt;LOWER(SUBSTITUTE(SUBSTITUTE($K25," ",""),CHAR(160),""))),Verpleegkundigen!$B$2:$B$100)+IF($K25&lt;&gt;"",1,0))</f>
        <v/>
      </c>
      <c r="E25" s="63">
        <f>IF(F25&gt;D25,1,IF(F25=D25,0,-1))</f>
        <v>0</v>
      </c>
      <c r="F25" s="92" t="str">
        <f>IF(AND($J25="",$K25=""),"",SUMPRODUCT(--ISNUMBER(SEARCH(","&amp;Verpleegkundigen!$C$2:$C$100&amp;",",","&amp;LOWER(SUBSTITUTE(SUBSTITUTE($J25," ",""),CHAR(160),""))&amp;","))*(Verpleegkundigen!$C$2:$C$100&lt;&gt;LOWER(SUBSTITUTE(SUBSTITUTE($K25," ",""),CHAR(160),""))),Verpleegkundigen!$B$2:$B$100)+IF($K25&lt;&gt;"",1,0))</f>
        <v/>
      </c>
      <c r="G25" s="7" t="str">
        <f>IF(AND(C25&lt;&gt;"",D25&lt;&gt;"",C25&gt;D25),"+" &amp; TEXT(C25-D25,"0"),"")</f>
        <v/>
      </c>
      <c r="H25" s="8"/>
      <c r="I25" s="7">
        <f>IF($J25="",5,LEN($J25)-LEN(SUBSTITUTE($J25,",",""))+1)</f>
        <v>5</v>
      </c>
      <c r="J25" s="7"/>
      <c r="K25" s="16"/>
      <c r="L25" s="22"/>
    </row>
    <row r="26" spans="1:12" x14ac:dyDescent="0.25">
      <c r="A26" s="3" t="s">
        <v>62</v>
      </c>
      <c r="B26" s="4"/>
      <c r="C26" s="4"/>
      <c r="D26" s="4"/>
      <c r="E26" s="4"/>
      <c r="F26" s="72" t="str">
        <f>IF(AND($J26="",$K26=""),"",SUMPRODUCT(--ISNUMBER(SEARCH(","&amp;Verpleegkundigen!$C$2:$C$100&amp;",",","&amp;LOWER(SUBSTITUTE(SUBSTITUTE($J26," ",""),CHAR(160),""))&amp;","))*(Verpleegkundigen!$C$2:$C$100&lt;&gt;LOWER(SUBSTITUTE(SUBSTITUTE($K26," ",""),CHAR(160),""))),Verpleegkundigen!$B$2:$B$100)+IF($K26&lt;&gt;"",1,0))</f>
        <v/>
      </c>
      <c r="G26" s="4"/>
      <c r="H26" s="4"/>
      <c r="I26" s="5"/>
      <c r="J26" s="4"/>
      <c r="K26" s="15"/>
      <c r="L26" s="40"/>
    </row>
    <row r="27" spans="1:12" x14ac:dyDescent="0.25">
      <c r="A27" s="6">
        <v>46111</v>
      </c>
      <c r="B27" s="7" t="s">
        <v>10</v>
      </c>
      <c r="C27" s="7">
        <v>0</v>
      </c>
      <c r="D27" s="7" t="str">
        <f>IF(AND($J27="",$K27=""),"",SUMPRODUCT(--ISNUMBER(SEARCH(","&amp;Verpleegkundigen!$C$2:$C$100&amp;",",","&amp;LOWER(SUBSTITUTE(SUBSTITUTE($J27," ",""),CHAR(160),""))&amp;","))*(Verpleegkundigen!$C$2:$C$100&lt;&gt;LOWER(SUBSTITUTE(SUBSTITUTE($K27," ",""),CHAR(160),""))),Verpleegkundigen!$B$2:$B$100)+IF($K27&lt;&gt;"",1,0))</f>
        <v/>
      </c>
      <c r="E27" s="63">
        <f>IF(F27&gt;D27,1,IF(F27=D27,0,-1))</f>
        <v>0</v>
      </c>
      <c r="F27" s="92" t="str">
        <f>IF(AND($J27="",$K27=""),"",SUMPRODUCT(--ISNUMBER(SEARCH(","&amp;Verpleegkundigen!$C$2:$C$100&amp;",",","&amp;LOWER(SUBSTITUTE(SUBSTITUTE($J27," ",""),CHAR(160),""))&amp;","))*(Verpleegkundigen!$C$2:$C$100&lt;&gt;LOWER(SUBSTITUTE(SUBSTITUTE($K27," ",""),CHAR(160),""))),Verpleegkundigen!$B$2:$B$100)+IF($K27&lt;&gt;"",1,0))</f>
        <v/>
      </c>
      <c r="G27" s="7" t="str">
        <f>IF(AND(C27&lt;&gt;"",D27&lt;&gt;"",C27&gt;D27),"+" &amp; TEXT(C27-D27,"0"),"")</f>
        <v/>
      </c>
      <c r="H27" s="8"/>
      <c r="I27" s="7">
        <f>IF($J27="",5,LEN($J27)-LEN(SUBSTITUTE($J27,",",""))+1)</f>
        <v>5</v>
      </c>
      <c r="J27" s="7"/>
      <c r="K27" s="16"/>
      <c r="L27" s="18"/>
    </row>
    <row r="28" spans="1:12" x14ac:dyDescent="0.25">
      <c r="A28" s="9">
        <v>46112</v>
      </c>
      <c r="B28" s="10" t="s">
        <v>12</v>
      </c>
      <c r="C28" s="10">
        <v>0</v>
      </c>
      <c r="D28" s="10" t="str">
        <f>IF(AND($J28="",$K28=""),"",SUMPRODUCT(--ISNUMBER(SEARCH(","&amp;Verpleegkundigen!$C$2:$C$100&amp;",",","&amp;LOWER(SUBSTITUTE(SUBSTITUTE($J28," ",""),CHAR(160),""))&amp;","))*(Verpleegkundigen!$C$2:$C$100&lt;&gt;LOWER(SUBSTITUTE(SUBSTITUTE($K28," ",""),CHAR(160),""))),Verpleegkundigen!$B$2:$B$100)+IF($K28&lt;&gt;"",1,0))</f>
        <v/>
      </c>
      <c r="E28" s="64">
        <f>IF(F28&gt;D28,1,IF(F28=D28,0,-1))</f>
        <v>0</v>
      </c>
      <c r="F28" s="72" t="str">
        <f>IF(AND($J28="",$K28=""),"",SUMPRODUCT(--ISNUMBER(SEARCH(","&amp;Verpleegkundigen!$C$2:$C$100&amp;",",","&amp;LOWER(SUBSTITUTE(SUBSTITUTE($J28," ",""),CHAR(160),""))&amp;","))*(Verpleegkundigen!$C$2:$C$100&lt;&gt;LOWER(SUBSTITUTE(SUBSTITUTE($K28," ",""),CHAR(160),""))),Verpleegkundigen!$B$2:$B$100)+IF($K28&lt;&gt;"",1,0))</f>
        <v/>
      </c>
      <c r="G28" s="10" t="str">
        <f>IF(AND(C28&lt;&gt;"",D28&lt;&gt;"",C28&gt;D28),"+" &amp; TEXT(C28-D28,"0"),"")</f>
        <v/>
      </c>
      <c r="H28" s="4"/>
      <c r="I28" s="7">
        <f>IF($J28="",5,LEN($J28)-LEN(SUBSTITUTE($J28,",",""))+1)</f>
        <v>5</v>
      </c>
      <c r="J28" s="10"/>
      <c r="K28" s="17"/>
      <c r="L28" s="19"/>
    </row>
  </sheetData>
  <conditionalFormatting sqref="C2:C28">
    <cfRule type="expression" dxfId="125" priority="4">
      <formula>AND(ISNUMBER($C2),ISNUMBER($D2),$D2&gt;0,$C2&lt;0.8*$D2)</formula>
    </cfRule>
    <cfRule type="expression" dxfId="124" priority="5">
      <formula>AND(ISNUMBER($C2),ISNUMBER($D2),$D2&gt;0,$C2&gt;=0.8*$D2,$C2&lt;$D2)</formula>
    </cfRule>
    <cfRule type="expression" dxfId="123" priority="6">
      <formula>AND(ISNUMBER($C2),ISNUMBER($D2),$D2&gt;0,$C2&gt;=$D2)</formula>
    </cfRule>
  </conditionalFormatting>
  <conditionalFormatting sqref="I2:I28">
    <cfRule type="expression" dxfId="122" priority="7">
      <formula>$I2=2</formula>
    </cfRule>
    <cfRule type="expression" dxfId="121" priority="8">
      <formula>OR($I2=3,$I2=4)</formula>
    </cfRule>
    <cfRule type="expression" dxfId="120" priority="9">
      <formula>$I2&gt;=5</formula>
    </cfRule>
    <cfRule type="expression" dxfId="119" priority="10">
      <formula>$I2=2</formula>
    </cfRule>
    <cfRule type="expression" dxfId="118" priority="11">
      <formula>OR($I2=3,$I2=4)</formula>
    </cfRule>
    <cfRule type="expression" dxfId="117" priority="12">
      <formula>$I2&gt;=5</formula>
    </cfRule>
  </conditionalFormatting>
  <pageMargins left="0.75" right="0.75" top="1" bottom="1" header="0.5" footer="0.5"/>
  <ignoredErrors>
    <ignoredError sqref="E3:E28" formula="1"/>
  </ignoredErrors>
  <extLst>
    <ext xmlns:x14="http://schemas.microsoft.com/office/spreadsheetml/2009/9/main" uri="{78C0D931-6437-407d-A8EE-F0AAD7539E65}">
      <x14:conditionalFormattings>
        <x14:conditionalFormatting xmlns:xm="http://schemas.microsoft.com/office/excel/2006/main">
          <x14:cfRule type="iconSet" priority="2" id="{DCB6E703-1693-4089-B88F-D0023E533E31}">
            <x14:iconSet iconSet="3Triangles" showValue="0">
              <x14:cfvo type="percent">
                <xm:f>0</xm:f>
              </x14:cfvo>
              <x14:cfvo type="formula">
                <xm:f>0</xm:f>
              </x14:cfvo>
              <x14:cfvo type="formula">
                <xm:f>1</xm:f>
              </x14:cfvo>
            </x14:iconSet>
          </x14:cfRule>
          <xm:sqref>E3:E25</xm:sqref>
        </x14:conditionalFormatting>
        <x14:conditionalFormatting xmlns:xm="http://schemas.microsoft.com/office/excel/2006/main">
          <x14:cfRule type="iconSet" priority="1" id="{3E89BC31-0387-4E2D-82DA-90A079801B46}">
            <x14:iconSet iconSet="3Triangles" showValue="0">
              <x14:cfvo type="percent">
                <xm:f>0</xm:f>
              </x14:cfvo>
              <x14:cfvo type="formula">
                <xm:f>0</xm:f>
              </x14:cfvo>
              <x14:cfvo type="formula">
                <xm:f>1</xm:f>
              </x14:cfvo>
            </x14:iconSet>
          </x14:cfRule>
          <xm:sqref>E27:E28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C23" sqref="C23"/>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3.5703125" customWidth="1"/>
    <col min="6" max="6" width="20.7109375" customWidth="1"/>
    <col min="7" max="7" width="14.7109375" customWidth="1"/>
    <col min="8" max="8" width="18.7109375" customWidth="1"/>
    <col min="9" max="9" width="10.28515625" bestFit="1" customWidth="1"/>
    <col min="10" max="10" width="30.7109375" customWidth="1"/>
    <col min="11" max="11" width="13.140625" bestFit="1" customWidth="1"/>
    <col min="12" max="12" width="19.28515625" bestFit="1" customWidth="1"/>
  </cols>
  <sheetData>
    <row r="1" spans="1:12" x14ac:dyDescent="0.25">
      <c r="A1" s="1" t="s">
        <v>0</v>
      </c>
      <c r="B1" s="1" t="s">
        <v>1</v>
      </c>
      <c r="C1" s="1" t="s">
        <v>2</v>
      </c>
      <c r="D1" s="1" t="s">
        <v>145</v>
      </c>
      <c r="E1" s="1"/>
      <c r="F1" s="1" t="s">
        <v>147</v>
      </c>
      <c r="G1" s="1" t="s">
        <v>4</v>
      </c>
      <c r="H1" s="1" t="s">
        <v>5</v>
      </c>
      <c r="I1" s="1" t="s">
        <v>6</v>
      </c>
      <c r="J1" s="1" t="s">
        <v>7</v>
      </c>
      <c r="K1" s="1" t="s">
        <v>8</v>
      </c>
      <c r="L1" s="1" t="s">
        <v>144</v>
      </c>
    </row>
    <row r="2" spans="1:12" x14ac:dyDescent="0.25">
      <c r="A2" s="3" t="s">
        <v>62</v>
      </c>
      <c r="B2" s="4"/>
      <c r="C2" s="4"/>
      <c r="D2" s="4"/>
      <c r="E2" s="4"/>
      <c r="F2" s="4"/>
      <c r="G2" s="4"/>
      <c r="H2" s="4"/>
      <c r="I2" s="5"/>
      <c r="J2" s="4"/>
      <c r="K2" s="4"/>
      <c r="L2" s="4"/>
    </row>
    <row r="3" spans="1:12" x14ac:dyDescent="0.25">
      <c r="A3" s="6">
        <v>46113</v>
      </c>
      <c r="B3" s="7" t="s">
        <v>14</v>
      </c>
      <c r="C3" s="7">
        <v>0</v>
      </c>
      <c r="D3" s="7" t="str">
        <f>IF(AND($J3="",$K3=""),"",SUMPRODUCT(--ISNUMBER(SEARCH(","&amp;Verpleegkundigen!$C$2:$C$100&amp;",",","&amp;LOWER(SUBSTITUTE(SUBSTITUTE($J3," ",""),CHAR(160),""))&amp;","))*(Verpleegkundigen!$C$2:$C$100&lt;&gt;LOWER(SUBSTITUTE(SUBSTITUTE($K3," ",""),CHAR(160),""))),Verpleegkundigen!$B$2:$B$100)+IF($K3&lt;&gt;"",1,0))</f>
        <v/>
      </c>
      <c r="E3" s="63">
        <f>IF(F3&gt;D3,1,IF(F3=D3,0,-1))</f>
        <v>0</v>
      </c>
      <c r="F3" s="92"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46114</v>
      </c>
      <c r="B4" s="10" t="s">
        <v>16</v>
      </c>
      <c r="C4" s="10">
        <v>0</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6">
        <v>46115</v>
      </c>
      <c r="B5" s="7" t="s">
        <v>18</v>
      </c>
      <c r="C5" s="7">
        <v>2</v>
      </c>
      <c r="D5" s="7" t="str">
        <f>IF(AND($J5="",$K5=""),"",SUMPRODUCT(--ISNUMBER(SEARCH(","&amp;Verpleegkundigen!$C$2:$C$100&amp;",",","&amp;LOWER(SUBSTITUTE(SUBSTITUTE($J5," ",""),CHAR(160),""))&amp;","))*(Verpleegkundigen!$C$2:$C$100&lt;&gt;LOWER(SUBSTITUTE(SUBSTITUTE($K5," ",""),CHAR(160),""))),Verpleegkundigen!$B$2:$B$100)+IF($K5&lt;&gt;"",1,0))</f>
        <v/>
      </c>
      <c r="E5" s="63">
        <f>IF(F5&gt;D5,1,IF(F5=D5,0,-1))</f>
        <v>0</v>
      </c>
      <c r="F5" s="92"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8"/>
    </row>
    <row r="6" spans="1:12" x14ac:dyDescent="0.25">
      <c r="A6" s="3" t="s">
        <v>63</v>
      </c>
      <c r="B6" s="4"/>
      <c r="C6" s="4"/>
      <c r="D6" s="4"/>
      <c r="E6" s="69"/>
      <c r="F6" s="72" t="str">
        <f>IF(AND($J6="",$K6=""),"",SUMPRODUCT(--ISNUMBER(SEARCH(","&amp;Verpleegkundigen!$C$2:$C$100&amp;",",","&amp;LOWER(SUBSTITUTE(SUBSTITUTE($J6," ",""),CHAR(160),""))&amp;","))*(Verpleegkundigen!$C$2:$C$100&lt;&gt;LOWER(SUBSTITUTE(SUBSTITUTE($K6," ",""),CHAR(160),""))),Verpleegkundigen!$B$2:$B$100)+IF($K6&lt;&gt;"",1,0))</f>
        <v/>
      </c>
      <c r="G6" s="4"/>
      <c r="H6" s="4"/>
      <c r="I6" s="5"/>
      <c r="J6" s="4"/>
      <c r="K6" s="4"/>
      <c r="L6" s="4"/>
    </row>
    <row r="7" spans="1:12" x14ac:dyDescent="0.25">
      <c r="A7" s="6">
        <v>46118</v>
      </c>
      <c r="B7" s="7" t="s">
        <v>10</v>
      </c>
      <c r="C7" s="7">
        <v>0</v>
      </c>
      <c r="D7" s="7" t="str">
        <f>IF(AND($J7="",$K7=""),"",SUMPRODUCT(--ISNUMBER(SEARCH(","&amp;Verpleegkundigen!$C$2:$C$100&amp;",",","&amp;LOWER(SUBSTITUTE(SUBSTITUTE($J7," ",""),CHAR(160),""))&amp;","))*(Verpleegkundigen!$C$2:$C$100&lt;&gt;LOWER(SUBSTITUTE(SUBSTITUTE($K7," ",""),CHAR(160),""))),Verpleegkundigen!$B$2:$B$100)+IF($K7&lt;&gt;"",1,0))</f>
        <v/>
      </c>
      <c r="E7" s="63">
        <f>IF(F7&gt;D7,1,IF(F7=D7,0,-1))</f>
        <v>0</v>
      </c>
      <c r="F7" s="92" t="str">
        <f>IF(AND($J7="",$K7=""),"",SUMPRODUCT(--ISNUMBER(SEARCH(","&amp;Verpleegkundigen!$C$2:$C$100&amp;",",","&amp;LOWER(SUBSTITUTE(SUBSTITUTE($J7," ",""),CHAR(160),""))&amp;","))*(Verpleegkundigen!$C$2:$C$100&lt;&gt;LOWER(SUBSTITUTE(SUBSTITUTE($K7," ",""),CHAR(160),""))),Verpleegkundigen!$B$2:$B$100)+IF($K7&lt;&gt;"",1,0))</f>
        <v/>
      </c>
      <c r="G7" s="7" t="str">
        <f>IF(AND(C7&lt;&gt;"",D7&lt;&gt;"",C7&gt;D7),"+" &amp; TEXT(C7-D7,"0"),"")</f>
        <v/>
      </c>
      <c r="H7" s="8"/>
      <c r="I7" s="7">
        <f>IF($J7="",5,LEN($J7)-LEN(SUBSTITUTE($J7,",",""))+1)</f>
        <v>5</v>
      </c>
      <c r="J7" s="7"/>
      <c r="K7" s="7"/>
      <c r="L7" s="8"/>
    </row>
    <row r="8" spans="1:12" x14ac:dyDescent="0.25">
      <c r="A8" s="9">
        <v>46119</v>
      </c>
      <c r="B8" s="10" t="s">
        <v>12</v>
      </c>
      <c r="C8" s="10">
        <v>1</v>
      </c>
      <c r="D8" s="10" t="str">
        <f>IF(AND($J8="",$K8=""),"",SUMPRODUCT(--ISNUMBER(SEARCH(","&amp;Verpleegkundigen!$C$2:$C$100&amp;",",","&amp;LOWER(SUBSTITUTE(SUBSTITUTE($J8," ",""),CHAR(160),""))&amp;","))*(Verpleegkundigen!$C$2:$C$100&lt;&gt;LOWER(SUBSTITUTE(SUBSTITUTE($K8," ",""),CHAR(160),""))),Verpleegkundigen!$B$2:$B$100)+IF($K8&lt;&gt;"",1,0))</f>
        <v/>
      </c>
      <c r="E8" s="69">
        <f>IF(F8&gt;D8,1,IF(F8=D8,0,-1))</f>
        <v>0</v>
      </c>
      <c r="F8" s="72" t="str">
        <f>IF(AND($J8="",$K8=""),"",SUMPRODUCT(--ISNUMBER(SEARCH(","&amp;Verpleegkundigen!$C$2:$C$100&amp;",",","&amp;LOWER(SUBSTITUTE(SUBSTITUTE($J8," ",""),CHAR(160),""))&amp;","))*(Verpleegkundigen!$C$2:$C$100&lt;&gt;LOWER(SUBSTITUTE(SUBSTITUTE($K8," ",""),CHAR(160),""))),Verpleegkundigen!$B$2:$B$100)+IF($K8&lt;&gt;"",1,0))</f>
        <v/>
      </c>
      <c r="G8" s="10" t="str">
        <f>IF(AND(C8&lt;&gt;"",D8&lt;&gt;"",C8&gt;D8),"+" &amp; TEXT(C8-D8,"0"),"")</f>
        <v/>
      </c>
      <c r="H8" s="4"/>
      <c r="I8" s="7">
        <f>IF($J8="",5,LEN($J8)-LEN(SUBSTITUTE($J8,",",""))+1)</f>
        <v>5</v>
      </c>
      <c r="J8" s="10"/>
      <c r="K8" s="10"/>
      <c r="L8" s="4"/>
    </row>
    <row r="9" spans="1:12" x14ac:dyDescent="0.25">
      <c r="A9" s="6">
        <v>46120</v>
      </c>
      <c r="B9" s="7" t="s">
        <v>14</v>
      </c>
      <c r="C9" s="7">
        <v>0</v>
      </c>
      <c r="D9" s="7" t="str">
        <f>IF(AND($J9="",$K9=""),"",SUMPRODUCT(--ISNUMBER(SEARCH(","&amp;Verpleegkundigen!$C$2:$C$100&amp;",",","&amp;LOWER(SUBSTITUTE(SUBSTITUTE($J9," ",""),CHAR(160),""))&amp;","))*(Verpleegkundigen!$C$2:$C$100&lt;&gt;LOWER(SUBSTITUTE(SUBSTITUTE($K9," ",""),CHAR(160),""))),Verpleegkundigen!$B$2:$B$100)+IF($K9&lt;&gt;"",1,0))</f>
        <v/>
      </c>
      <c r="E9" s="67">
        <f>IF(F9&gt;D9,1,IF(F9=D9,0,-1))</f>
        <v>0</v>
      </c>
      <c r="F9" s="92" t="str">
        <f>IF(AND($J9="",$K9=""),"",SUMPRODUCT(--ISNUMBER(SEARCH(","&amp;Verpleegkundigen!$C$2:$C$100&amp;",",","&amp;LOWER(SUBSTITUTE(SUBSTITUTE($J9," ",""),CHAR(160),""))&amp;","))*(Verpleegkundigen!$C$2:$C$100&lt;&gt;LOWER(SUBSTITUTE(SUBSTITUTE($K9," ",""),CHAR(160),""))),Verpleegkundigen!$B$2:$B$100)+IF($K9&lt;&gt;"",1,0))</f>
        <v/>
      </c>
      <c r="G9" s="7" t="str">
        <f>IF(AND(C9&lt;&gt;"",D9&lt;&gt;"",C9&gt;D9),"+" &amp; TEXT(C9-D9,"0"),"")</f>
        <v/>
      </c>
      <c r="H9" s="8"/>
      <c r="I9" s="7">
        <f>IF($J9="",5,LEN($J9)-LEN(SUBSTITUTE($J9,",",""))+1)</f>
        <v>5</v>
      </c>
      <c r="J9" s="7"/>
      <c r="K9" s="7"/>
      <c r="L9" s="8"/>
    </row>
    <row r="10" spans="1:12" x14ac:dyDescent="0.25">
      <c r="A10" s="9">
        <v>46121</v>
      </c>
      <c r="B10" s="10" t="s">
        <v>16</v>
      </c>
      <c r="C10" s="10">
        <v>0</v>
      </c>
      <c r="D10" s="10" t="str">
        <f>IF(AND($J10="",$K10=""),"",SUMPRODUCT(--ISNUMBER(SEARCH(","&amp;Verpleegkundigen!$C$2:$C$100&amp;",",","&amp;LOWER(SUBSTITUTE(SUBSTITUTE($J10," ",""),CHAR(160),""))&amp;","))*(Verpleegkundigen!$C$2:$C$100&lt;&gt;LOWER(SUBSTITUTE(SUBSTITUTE($K10," ",""),CHAR(160),""))),Verpleegkundigen!$B$2:$B$100)+IF($K10&lt;&gt;"",1,0))</f>
        <v/>
      </c>
      <c r="E10" s="69">
        <f>IF(F10&gt;D10,1,IF(F10=D10,0,-1))</f>
        <v>0</v>
      </c>
      <c r="F10" s="72" t="str">
        <f>IF(AND($J10="",$K10=""),"",SUMPRODUCT(--ISNUMBER(SEARCH(","&amp;Verpleegkundigen!$C$2:$C$100&amp;",",","&amp;LOWER(SUBSTITUTE(SUBSTITUTE($J10," ",""),CHAR(160),""))&amp;","))*(Verpleegkundigen!$C$2:$C$100&lt;&gt;LOWER(SUBSTITUTE(SUBSTITUTE($K10," ",""),CHAR(160),""))),Verpleegkundigen!$B$2:$B$100)+IF($K10&lt;&gt;"",1,0))</f>
        <v/>
      </c>
      <c r="G10" s="10" t="str">
        <f>IF(AND(C10&lt;&gt;"",D10&lt;&gt;"",C10&gt;D10),"+" &amp; TEXT(C10-D10,"0"),"")</f>
        <v/>
      </c>
      <c r="H10" s="4"/>
      <c r="I10" s="7">
        <f>IF($J10="",5,LEN($J10)-LEN(SUBSTITUTE($J10,",",""))+1)</f>
        <v>5</v>
      </c>
      <c r="J10" s="10"/>
      <c r="K10" s="10"/>
      <c r="L10" s="4"/>
    </row>
    <row r="11" spans="1:12" x14ac:dyDescent="0.25">
      <c r="A11" s="6">
        <v>46122</v>
      </c>
      <c r="B11" s="7" t="s">
        <v>18</v>
      </c>
      <c r="C11" s="7">
        <v>2</v>
      </c>
      <c r="D11" s="7" t="str">
        <f>IF(AND($J11="",$K11=""),"",SUMPRODUCT(--ISNUMBER(SEARCH(","&amp;Verpleegkundigen!$C$2:$C$100&amp;",",","&amp;LOWER(SUBSTITUTE(SUBSTITUTE($J11," ",""),CHAR(160),""))&amp;","))*(Verpleegkundigen!$C$2:$C$100&lt;&gt;LOWER(SUBSTITUTE(SUBSTITUTE($K11," ",""),CHAR(160),""))),Verpleegkundigen!$B$2:$B$100)+IF($K11&lt;&gt;"",1,0))</f>
        <v/>
      </c>
      <c r="E11" s="63">
        <f>IF(F11&gt;D11,1,IF(F11=D11,0,-1))</f>
        <v>0</v>
      </c>
      <c r="F11" s="92" t="str">
        <f>IF(AND($J11="",$K11=""),"",SUMPRODUCT(--ISNUMBER(SEARCH(","&amp;Verpleegkundigen!$C$2:$C$100&amp;",",","&amp;LOWER(SUBSTITUTE(SUBSTITUTE($J11," ",""),CHAR(160),""))&amp;","))*(Verpleegkundigen!$C$2:$C$100&lt;&gt;LOWER(SUBSTITUTE(SUBSTITUTE($K11," ",""),CHAR(160),""))),Verpleegkundigen!$B$2:$B$100)+IF($K11&lt;&gt;"",1,0))</f>
        <v/>
      </c>
      <c r="G11" s="7" t="str">
        <f>IF(AND(C11&lt;&gt;"",D11&lt;&gt;"",C11&gt;D11),"+" &amp; TEXT(C11-D11,"0"),"")</f>
        <v/>
      </c>
      <c r="H11" s="8"/>
      <c r="I11" s="7">
        <f>IF($J11="",5,LEN($J11)-LEN(SUBSTITUTE($J11,",",""))+1)</f>
        <v>5</v>
      </c>
      <c r="J11" s="7"/>
      <c r="K11" s="7"/>
      <c r="L11" s="8"/>
    </row>
    <row r="12" spans="1:12" x14ac:dyDescent="0.25">
      <c r="A12" s="3" t="s">
        <v>64</v>
      </c>
      <c r="B12" s="4"/>
      <c r="C12" s="4"/>
      <c r="D12" s="4"/>
      <c r="E12" s="69"/>
      <c r="F12" s="72" t="str">
        <f>IF(AND($J12="",$K12=""),"",SUMPRODUCT(--ISNUMBER(SEARCH(","&amp;Verpleegkundigen!$C$2:$C$100&amp;",",","&amp;LOWER(SUBSTITUTE(SUBSTITUTE($J12," ",""),CHAR(160),""))&amp;","))*(Verpleegkundigen!$C$2:$C$100&lt;&gt;LOWER(SUBSTITUTE(SUBSTITUTE($K12," ",""),CHAR(160),""))),Verpleegkundigen!$B$2:$B$100)+IF($K12&lt;&gt;"",1,0))</f>
        <v/>
      </c>
      <c r="G12" s="4"/>
      <c r="H12" s="4"/>
      <c r="I12" s="5"/>
      <c r="J12" s="4"/>
      <c r="K12" s="4"/>
      <c r="L12" s="4"/>
    </row>
    <row r="13" spans="1:12" x14ac:dyDescent="0.25">
      <c r="A13" s="6">
        <v>46125</v>
      </c>
      <c r="B13" s="7" t="s">
        <v>10</v>
      </c>
      <c r="C13" s="7">
        <v>1</v>
      </c>
      <c r="D13" s="7" t="str">
        <f>IF(AND($J13="",$K13=""),"",SUMPRODUCT(--ISNUMBER(SEARCH(","&amp;Verpleegkundigen!$C$2:$C$100&amp;",",","&amp;LOWER(SUBSTITUTE(SUBSTITUTE($J13," ",""),CHAR(160),""))&amp;","))*(Verpleegkundigen!$C$2:$C$100&lt;&gt;LOWER(SUBSTITUTE(SUBSTITUTE($K13," ",""),CHAR(160),""))),Verpleegkundigen!$B$2:$B$100)+IF($K13&lt;&gt;"",1,0))</f>
        <v/>
      </c>
      <c r="E13" s="63">
        <f>IF(F13&gt;D13,1,IF(F13=D13,0,-1))</f>
        <v>0</v>
      </c>
      <c r="F13" s="92" t="str">
        <f>IF(AND($J13="",$K13=""),"",SUMPRODUCT(--ISNUMBER(SEARCH(","&amp;Verpleegkundigen!$C$2:$C$100&amp;",",","&amp;LOWER(SUBSTITUTE(SUBSTITUTE($J13," ",""),CHAR(160),""))&amp;","))*(Verpleegkundigen!$C$2:$C$100&lt;&gt;LOWER(SUBSTITUTE(SUBSTITUTE($K13," ",""),CHAR(160),""))),Verpleegkundigen!$B$2:$B$100)+IF($K13&lt;&gt;"",1,0))</f>
        <v/>
      </c>
      <c r="G13" s="7" t="str">
        <f>IF(AND(C13&lt;&gt;"",D13&lt;&gt;"",C13&gt;D13),"+" &amp; TEXT(C13-D13,"0"),"")</f>
        <v/>
      </c>
      <c r="H13" s="8"/>
      <c r="I13" s="7">
        <f>IF($J13="",5,LEN($J13)-LEN(SUBSTITUTE($J13,",",""))+1)</f>
        <v>5</v>
      </c>
      <c r="J13" s="7"/>
      <c r="K13" s="7"/>
      <c r="L13" s="8"/>
    </row>
    <row r="14" spans="1:12" x14ac:dyDescent="0.25">
      <c r="A14" s="9">
        <v>46126</v>
      </c>
      <c r="B14" s="10" t="s">
        <v>12</v>
      </c>
      <c r="C14" s="10">
        <v>0</v>
      </c>
      <c r="D14" s="10" t="str">
        <f>IF(AND($J14="",$K14=""),"",SUMPRODUCT(--ISNUMBER(SEARCH(","&amp;Verpleegkundigen!$C$2:$C$100&amp;",",","&amp;LOWER(SUBSTITUTE(SUBSTITUTE($J14," ",""),CHAR(160),""))&amp;","))*(Verpleegkundigen!$C$2:$C$100&lt;&gt;LOWER(SUBSTITUTE(SUBSTITUTE($K14," ",""),CHAR(160),""))),Verpleegkundigen!$B$2:$B$100)+IF($K14&lt;&gt;"",1,0))</f>
        <v/>
      </c>
      <c r="E14" s="69">
        <f>IF(F14&gt;D14,1,IF(F14=D14,0,-1))</f>
        <v>0</v>
      </c>
      <c r="F14" s="72" t="str">
        <f>IF(AND($J14="",$K14=""),"",SUMPRODUCT(--ISNUMBER(SEARCH(","&amp;Verpleegkundigen!$C$2:$C$100&amp;",",","&amp;LOWER(SUBSTITUTE(SUBSTITUTE($J14," ",""),CHAR(160),""))&amp;","))*(Verpleegkundigen!$C$2:$C$100&lt;&gt;LOWER(SUBSTITUTE(SUBSTITUTE($K14," ",""),CHAR(160),""))),Verpleegkundigen!$B$2:$B$100)+IF($K14&lt;&gt;"",1,0))</f>
        <v/>
      </c>
      <c r="G14" s="10" t="str">
        <f>IF(AND(C14&lt;&gt;"",D14&lt;&gt;"",C14&gt;D14),"+" &amp; TEXT(C14-D14,"0"),"")</f>
        <v/>
      </c>
      <c r="H14" s="4" t="s">
        <v>65</v>
      </c>
      <c r="I14" s="7">
        <f>IF($J14="",5,LEN($J14)-LEN(SUBSTITUTE($J14,",",""))+1)</f>
        <v>5</v>
      </c>
      <c r="J14" s="10"/>
      <c r="K14" s="10"/>
      <c r="L14" s="4"/>
    </row>
    <row r="15" spans="1:12" x14ac:dyDescent="0.25">
      <c r="A15" s="6">
        <v>46127</v>
      </c>
      <c r="B15" s="7" t="s">
        <v>14</v>
      </c>
      <c r="C15" s="7">
        <v>1</v>
      </c>
      <c r="D15" s="7" t="str">
        <f>IF(AND($J15="",$K15=""),"",SUMPRODUCT(--ISNUMBER(SEARCH(","&amp;Verpleegkundigen!$C$2:$C$100&amp;",",","&amp;LOWER(SUBSTITUTE(SUBSTITUTE($J15," ",""),CHAR(160),""))&amp;","))*(Verpleegkundigen!$C$2:$C$100&lt;&gt;LOWER(SUBSTITUTE(SUBSTITUTE($K15," ",""),CHAR(160),""))),Verpleegkundigen!$B$2:$B$100)+IF($K15&lt;&gt;"",1,0))</f>
        <v/>
      </c>
      <c r="E15" s="67">
        <f>IF(F15&gt;D15,1,IF(F15=D15,0,-1))</f>
        <v>0</v>
      </c>
      <c r="F15" s="92" t="str">
        <f>IF(AND($J15="",$K15=""),"",SUMPRODUCT(--ISNUMBER(SEARCH(","&amp;Verpleegkundigen!$C$2:$C$100&amp;",",","&amp;LOWER(SUBSTITUTE(SUBSTITUTE($J15," ",""),CHAR(160),""))&amp;","))*(Verpleegkundigen!$C$2:$C$100&lt;&gt;LOWER(SUBSTITUTE(SUBSTITUTE($K15," ",""),CHAR(160),""))),Verpleegkundigen!$B$2:$B$100)+IF($K15&lt;&gt;"",1,0))</f>
        <v/>
      </c>
      <c r="G15" s="7" t="str">
        <f>IF(AND(C15&lt;&gt;"",D15&lt;&gt;"",C15&gt;D15),"+" &amp; TEXT(C15-D15,"0"),"")</f>
        <v/>
      </c>
      <c r="H15" s="8"/>
      <c r="I15" s="7">
        <f>IF($J15="",5,LEN($J15)-LEN(SUBSTITUTE($J15,",",""))+1)</f>
        <v>5</v>
      </c>
      <c r="J15" s="7"/>
      <c r="K15" s="7"/>
      <c r="L15" s="8"/>
    </row>
    <row r="16" spans="1:12" x14ac:dyDescent="0.25">
      <c r="A16" s="9">
        <v>46128</v>
      </c>
      <c r="B16" s="10" t="s">
        <v>16</v>
      </c>
      <c r="C16" s="10">
        <v>0</v>
      </c>
      <c r="D16" s="10" t="str">
        <f>IF(AND($J16="",$K16=""),"",SUMPRODUCT(--ISNUMBER(SEARCH(","&amp;Verpleegkundigen!$C$2:$C$100&amp;",",","&amp;LOWER(SUBSTITUTE(SUBSTITUTE($J16," ",""),CHAR(160),""))&amp;","))*(Verpleegkundigen!$C$2:$C$100&lt;&gt;LOWER(SUBSTITUTE(SUBSTITUTE($K16," ",""),CHAR(160),""))),Verpleegkundigen!$B$2:$B$100)+IF($K16&lt;&gt;"",1,0))</f>
        <v/>
      </c>
      <c r="E16" s="69">
        <f>IF(F16&gt;D16,1,IF(F16=D16,0,-1))</f>
        <v>0</v>
      </c>
      <c r="F16" s="72" t="str">
        <f>IF(AND($J16="",$K16=""),"",SUMPRODUCT(--ISNUMBER(SEARCH(","&amp;Verpleegkundigen!$C$2:$C$100&amp;",",","&amp;LOWER(SUBSTITUTE(SUBSTITUTE($J16," ",""),CHAR(160),""))&amp;","))*(Verpleegkundigen!$C$2:$C$100&lt;&gt;LOWER(SUBSTITUTE(SUBSTITUTE($K16," ",""),CHAR(160),""))),Verpleegkundigen!$B$2:$B$100)+IF($K16&lt;&gt;"",1,0))</f>
        <v/>
      </c>
      <c r="G16" s="10" t="str">
        <f>IF(AND(C16&lt;&gt;"",D16&lt;&gt;"",C16&gt;D16),"+" &amp; TEXT(C16-D16,"0"),"")</f>
        <v/>
      </c>
      <c r="H16" s="4"/>
      <c r="I16" s="7">
        <f>IF($J16="",5,LEN($J16)-LEN(SUBSTITUTE($J16,",",""))+1)</f>
        <v>5</v>
      </c>
      <c r="J16" s="10"/>
      <c r="K16" s="10"/>
      <c r="L16" s="4"/>
    </row>
    <row r="17" spans="1:12" x14ac:dyDescent="0.25">
      <c r="A17" s="6">
        <v>46129</v>
      </c>
      <c r="B17" s="7" t="s">
        <v>18</v>
      </c>
      <c r="C17" s="7">
        <v>0</v>
      </c>
      <c r="D17" s="7" t="str">
        <f>IF(AND($J17="",$K17=""),"",SUMPRODUCT(--ISNUMBER(SEARCH(","&amp;Verpleegkundigen!$C$2:$C$100&amp;",",","&amp;LOWER(SUBSTITUTE(SUBSTITUTE($J17," ",""),CHAR(160),""))&amp;","))*(Verpleegkundigen!$C$2:$C$100&lt;&gt;LOWER(SUBSTITUTE(SUBSTITUTE($K17," ",""),CHAR(160),""))),Verpleegkundigen!$B$2:$B$100)+IF($K17&lt;&gt;"",1,0))</f>
        <v/>
      </c>
      <c r="E17" s="63">
        <f>IF(F17&gt;D17,1,IF(F17=D17,0,-1))</f>
        <v>0</v>
      </c>
      <c r="F17" s="92" t="str">
        <f>IF(AND($J17="",$K17=""),"",SUMPRODUCT(--ISNUMBER(SEARCH(","&amp;Verpleegkundigen!$C$2:$C$100&amp;",",","&amp;LOWER(SUBSTITUTE(SUBSTITUTE($J17," ",""),CHAR(160),""))&amp;","))*(Verpleegkundigen!$C$2:$C$100&lt;&gt;LOWER(SUBSTITUTE(SUBSTITUTE($K17," ",""),CHAR(160),""))),Verpleegkundigen!$B$2:$B$100)+IF($K17&lt;&gt;"",1,0))</f>
        <v/>
      </c>
      <c r="G17" s="7" t="str">
        <f>IF(AND(C17&lt;&gt;"",D17&lt;&gt;"",C17&gt;D17),"+" &amp; TEXT(C17-D17,"0"),"")</f>
        <v/>
      </c>
      <c r="H17" s="8"/>
      <c r="I17" s="7">
        <f>IF($J17="",5,LEN($J17)-LEN(SUBSTITUTE($J17,",",""))+1)</f>
        <v>5</v>
      </c>
      <c r="J17" s="7"/>
      <c r="K17" s="7"/>
      <c r="L17" s="8"/>
    </row>
    <row r="18" spans="1:12" x14ac:dyDescent="0.25">
      <c r="A18" s="3" t="s">
        <v>66</v>
      </c>
      <c r="B18" s="4"/>
      <c r="C18" s="4"/>
      <c r="D18" s="4"/>
      <c r="E18" s="69"/>
      <c r="F18" s="72" t="str">
        <f>IF(AND($J18="",$K18=""),"",SUMPRODUCT(--ISNUMBER(SEARCH(","&amp;Verpleegkundigen!$C$2:$C$100&amp;",",","&amp;LOWER(SUBSTITUTE(SUBSTITUTE($J18," ",""),CHAR(160),""))&amp;","))*(Verpleegkundigen!$C$2:$C$100&lt;&gt;LOWER(SUBSTITUTE(SUBSTITUTE($K18," ",""),CHAR(160),""))),Verpleegkundigen!$B$2:$B$100)+IF($K18&lt;&gt;"",1,0))</f>
        <v/>
      </c>
      <c r="G18" s="4"/>
      <c r="H18" s="4"/>
      <c r="I18" s="5"/>
      <c r="J18" s="4"/>
      <c r="K18" s="4"/>
      <c r="L18" s="4"/>
    </row>
    <row r="19" spans="1:12" x14ac:dyDescent="0.25">
      <c r="A19" s="6">
        <v>46132</v>
      </c>
      <c r="B19" s="7" t="s">
        <v>10</v>
      </c>
      <c r="C19" s="7">
        <v>0</v>
      </c>
      <c r="D19" s="7" t="str">
        <f>IF(AND($J19="",$K19=""),"",SUMPRODUCT(--ISNUMBER(SEARCH(","&amp;Verpleegkundigen!$C$2:$C$100&amp;",",","&amp;LOWER(SUBSTITUTE(SUBSTITUTE($J19," ",""),CHAR(160),""))&amp;","))*(Verpleegkundigen!$C$2:$C$100&lt;&gt;LOWER(SUBSTITUTE(SUBSTITUTE($K19," ",""),CHAR(160),""))),Verpleegkundigen!$B$2:$B$100)+IF($K19&lt;&gt;"",1,0))</f>
        <v/>
      </c>
      <c r="E19" s="67">
        <f>IF(F19&gt;D19,1,IF(F19=D19,0,-1))</f>
        <v>0</v>
      </c>
      <c r="F19" s="92" t="str">
        <f>IF(AND($J19="",$K19=""),"",SUMPRODUCT(--ISNUMBER(SEARCH(","&amp;Verpleegkundigen!$C$2:$C$100&amp;",",","&amp;LOWER(SUBSTITUTE(SUBSTITUTE($J19," ",""),CHAR(160),""))&amp;","))*(Verpleegkundigen!$C$2:$C$100&lt;&gt;LOWER(SUBSTITUTE(SUBSTITUTE($K19," ",""),CHAR(160),""))),Verpleegkundigen!$B$2:$B$100)+IF($K19&lt;&gt;"",1,0))</f>
        <v/>
      </c>
      <c r="G19" s="7" t="str">
        <f>IF(AND(C19&lt;&gt;"",D19&lt;&gt;"",C19&gt;D19),"+" &amp; TEXT(C19-D19,"0"),"")</f>
        <v/>
      </c>
      <c r="H19" s="8"/>
      <c r="I19" s="7">
        <f>IF($J19="",5,LEN($J19)-LEN(SUBSTITUTE($J19,",",""))+1)</f>
        <v>5</v>
      </c>
      <c r="J19" s="7"/>
      <c r="K19" s="7"/>
      <c r="L19" s="8"/>
    </row>
    <row r="20" spans="1:12" x14ac:dyDescent="0.25">
      <c r="A20" s="9">
        <v>46133</v>
      </c>
      <c r="B20" s="10" t="s">
        <v>12</v>
      </c>
      <c r="C20" s="10">
        <v>1</v>
      </c>
      <c r="D20" s="10" t="str">
        <f>IF(AND($J20="",$K20=""),"",SUMPRODUCT(--ISNUMBER(SEARCH(","&amp;Verpleegkundigen!$C$2:$C$100&amp;",",","&amp;LOWER(SUBSTITUTE(SUBSTITUTE($J20," ",""),CHAR(160),""))&amp;","))*(Verpleegkundigen!$C$2:$C$100&lt;&gt;LOWER(SUBSTITUTE(SUBSTITUTE($K20," ",""),CHAR(160),""))),Verpleegkundigen!$B$2:$B$100)+IF($K20&lt;&gt;"",1,0))</f>
        <v/>
      </c>
      <c r="E20" s="69">
        <f>IF(F20&gt;D20,1,IF(F20=D20,0,-1))</f>
        <v>0</v>
      </c>
      <c r="F20" s="72" t="str">
        <f>IF(AND($J20="",$K20=""),"",SUMPRODUCT(--ISNUMBER(SEARCH(","&amp;Verpleegkundigen!$C$2:$C$100&amp;",",","&amp;LOWER(SUBSTITUTE(SUBSTITUTE($J20," ",""),CHAR(160),""))&amp;","))*(Verpleegkundigen!$C$2:$C$100&lt;&gt;LOWER(SUBSTITUTE(SUBSTITUTE($K20," ",""),CHAR(160),""))),Verpleegkundigen!$B$2:$B$100)+IF($K20&lt;&gt;"",1,0))</f>
        <v/>
      </c>
      <c r="G20" s="10" t="str">
        <f>IF(AND(C20&lt;&gt;"",D20&lt;&gt;"",C20&gt;D20),"+" &amp; TEXT(C20-D20,"0"),"")</f>
        <v/>
      </c>
      <c r="H20" s="4"/>
      <c r="I20" s="7">
        <f>IF($J20="",5,LEN($J20)-LEN(SUBSTITUTE($J20,",",""))+1)</f>
        <v>5</v>
      </c>
      <c r="J20" s="10"/>
      <c r="K20" s="10"/>
      <c r="L20" s="4"/>
    </row>
    <row r="21" spans="1:12" x14ac:dyDescent="0.25">
      <c r="A21" s="6">
        <v>46134</v>
      </c>
      <c r="B21" s="7" t="s">
        <v>14</v>
      </c>
      <c r="C21" s="7">
        <v>0</v>
      </c>
      <c r="D21" s="7" t="str">
        <f>IF(AND($J21="",$K21=""),"",SUMPRODUCT(--ISNUMBER(SEARCH(","&amp;Verpleegkundigen!$C$2:$C$100&amp;",",","&amp;LOWER(SUBSTITUTE(SUBSTITUTE($J21," ",""),CHAR(160),""))&amp;","))*(Verpleegkundigen!$C$2:$C$100&lt;&gt;LOWER(SUBSTITUTE(SUBSTITUTE($K21," ",""),CHAR(160),""))),Verpleegkundigen!$B$2:$B$100)+IF($K21&lt;&gt;"",1,0))</f>
        <v/>
      </c>
      <c r="E21" s="63">
        <f>IF(F21&gt;D21,1,IF(F21=D21,0,-1))</f>
        <v>0</v>
      </c>
      <c r="F21" s="92" t="str">
        <f>IF(AND($J21="",$K21=""),"",SUMPRODUCT(--ISNUMBER(SEARCH(","&amp;Verpleegkundigen!$C$2:$C$100&amp;",",","&amp;LOWER(SUBSTITUTE(SUBSTITUTE($J21," ",""),CHAR(160),""))&amp;","))*(Verpleegkundigen!$C$2:$C$100&lt;&gt;LOWER(SUBSTITUTE(SUBSTITUTE($K21," ",""),CHAR(160),""))),Verpleegkundigen!$B$2:$B$100)+IF($K21&lt;&gt;"",1,0))</f>
        <v/>
      </c>
      <c r="G21" s="7" t="str">
        <f>IF(AND(C21&lt;&gt;"",D21&lt;&gt;"",C21&gt;D21),"+" &amp; TEXT(C21-D21,"0"),"")</f>
        <v/>
      </c>
      <c r="H21" s="8"/>
      <c r="I21" s="7">
        <f>IF($J21="",5,LEN($J21)-LEN(SUBSTITUTE($J21,",",""))+1)</f>
        <v>5</v>
      </c>
      <c r="J21" s="7"/>
      <c r="K21" s="7"/>
      <c r="L21" s="8"/>
    </row>
    <row r="22" spans="1:12" x14ac:dyDescent="0.25">
      <c r="A22" s="9">
        <v>46135</v>
      </c>
      <c r="B22" s="10" t="s">
        <v>16</v>
      </c>
      <c r="C22" s="10">
        <v>0</v>
      </c>
      <c r="D22" s="10" t="str">
        <f>IF(AND($J22="",$K22=""),"",SUMPRODUCT(--ISNUMBER(SEARCH(","&amp;Verpleegkundigen!$C$2:$C$100&amp;",",","&amp;LOWER(SUBSTITUTE(SUBSTITUTE($J22," ",""),CHAR(160),""))&amp;","))*(Verpleegkundigen!$C$2:$C$100&lt;&gt;LOWER(SUBSTITUTE(SUBSTITUTE($K22," ",""),CHAR(160),""))),Verpleegkundigen!$B$2:$B$100)+IF($K22&lt;&gt;"",1,0))</f>
        <v/>
      </c>
      <c r="E22" s="69">
        <f>IF(F22&gt;D22,1,IF(F22=D22,0,-1))</f>
        <v>0</v>
      </c>
      <c r="F22" s="72" t="str">
        <f>IF(AND($J22="",$K22=""),"",SUMPRODUCT(--ISNUMBER(SEARCH(","&amp;Verpleegkundigen!$C$2:$C$100&amp;",",","&amp;LOWER(SUBSTITUTE(SUBSTITUTE($J22," ",""),CHAR(160),""))&amp;","))*(Verpleegkundigen!$C$2:$C$100&lt;&gt;LOWER(SUBSTITUTE(SUBSTITUTE($K22," ",""),CHAR(160),""))),Verpleegkundigen!$B$2:$B$100)+IF($K22&lt;&gt;"",1,0))</f>
        <v/>
      </c>
      <c r="G22" s="10" t="str">
        <f>IF(AND(C22&lt;&gt;"",D22&lt;&gt;"",C22&gt;D22),"+" &amp; TEXT(C22-D22,"0"),"")</f>
        <v/>
      </c>
      <c r="H22" s="4"/>
      <c r="I22" s="7">
        <f>IF($J22="",5,LEN($J22)-LEN(SUBSTITUTE($J22,",",""))+1)</f>
        <v>5</v>
      </c>
      <c r="J22" s="10"/>
      <c r="K22" s="10"/>
      <c r="L22" s="4"/>
    </row>
    <row r="23" spans="1:12" x14ac:dyDescent="0.25">
      <c r="A23" s="6">
        <v>46136</v>
      </c>
      <c r="B23" s="7" t="s">
        <v>18</v>
      </c>
      <c r="C23" s="7">
        <v>1</v>
      </c>
      <c r="D23" s="7" t="str">
        <f>IF(AND($J23="",$K23=""),"",SUMPRODUCT(--ISNUMBER(SEARCH(","&amp;Verpleegkundigen!$C$2:$C$100&amp;",",","&amp;LOWER(SUBSTITUTE(SUBSTITUTE($J23," ",""),CHAR(160),""))&amp;","))*(Verpleegkundigen!$C$2:$C$100&lt;&gt;LOWER(SUBSTITUTE(SUBSTITUTE($K23," ",""),CHAR(160),""))),Verpleegkundigen!$B$2:$B$100)+IF($K23&lt;&gt;"",1,0))</f>
        <v/>
      </c>
      <c r="E23" s="63">
        <f>IF(F23&gt;D23,1,IF(F23=D23,0,-1))</f>
        <v>0</v>
      </c>
      <c r="F23" s="92" t="str">
        <f>IF(AND($J23="",$K23=""),"",SUMPRODUCT(--ISNUMBER(SEARCH(","&amp;Verpleegkundigen!$C$2:$C$100&amp;",",","&amp;LOWER(SUBSTITUTE(SUBSTITUTE($J23," ",""),CHAR(160),""))&amp;","))*(Verpleegkundigen!$C$2:$C$100&lt;&gt;LOWER(SUBSTITUTE(SUBSTITUTE($K23," ",""),CHAR(160),""))),Verpleegkundigen!$B$2:$B$100)+IF($K23&lt;&gt;"",1,0))</f>
        <v/>
      </c>
      <c r="G23" s="7" t="str">
        <f>IF(AND(C23&lt;&gt;"",D23&lt;&gt;"",C23&gt;D23),"+" &amp; TEXT(C23-D23,"0"),"")</f>
        <v/>
      </c>
      <c r="H23" s="8"/>
      <c r="I23" s="7">
        <f>IF($J23="",5,LEN($J23)-LEN(SUBSTITUTE($J23,",",""))+1)</f>
        <v>5</v>
      </c>
      <c r="J23" s="7"/>
      <c r="K23" s="7"/>
      <c r="L23" s="8"/>
    </row>
    <row r="24" spans="1:12" x14ac:dyDescent="0.25">
      <c r="A24" s="3" t="s">
        <v>67</v>
      </c>
      <c r="B24" s="4"/>
      <c r="C24" s="4"/>
      <c r="D24" s="4"/>
      <c r="E24" s="64"/>
      <c r="F24" s="72" t="str">
        <f>IF(AND($J24="",$K24=""),"",SUMPRODUCT(--ISNUMBER(SEARCH(","&amp;Verpleegkundigen!$C$2:$C$100&amp;",",","&amp;LOWER(SUBSTITUTE(SUBSTITUTE($J24," ",""),CHAR(160),""))&amp;","))*(Verpleegkundigen!$C$2:$C$100&lt;&gt;LOWER(SUBSTITUTE(SUBSTITUTE($K24," ",""),CHAR(160),""))),Verpleegkundigen!$B$2:$B$100)+IF($K24&lt;&gt;"",1,0))</f>
        <v/>
      </c>
      <c r="G24" s="4"/>
      <c r="H24" s="4"/>
      <c r="I24" s="5"/>
      <c r="J24" s="4"/>
      <c r="K24" s="4"/>
      <c r="L24" s="4"/>
    </row>
    <row r="25" spans="1:12" x14ac:dyDescent="0.25">
      <c r="A25" s="6">
        <v>46139</v>
      </c>
      <c r="B25" s="7" t="s">
        <v>10</v>
      </c>
      <c r="C25" s="7">
        <v>0</v>
      </c>
      <c r="D25" s="7" t="str">
        <f>IF(AND($J25="",$K25=""),"",SUMPRODUCT(--ISNUMBER(SEARCH(","&amp;Verpleegkundigen!$C$2:$C$100&amp;",",","&amp;LOWER(SUBSTITUTE(SUBSTITUTE($J25," ",""),CHAR(160),""))&amp;","))*(Verpleegkundigen!$C$2:$C$100&lt;&gt;LOWER(SUBSTITUTE(SUBSTITUTE($K25," ",""),CHAR(160),""))),Verpleegkundigen!$B$2:$B$100)+IF($K25&lt;&gt;"",1,0))</f>
        <v/>
      </c>
      <c r="E25" s="63">
        <f>IF(F25&gt;D25,1,IF(F25=D25,0,-1))</f>
        <v>0</v>
      </c>
      <c r="F25" s="92" t="str">
        <f>IF(AND($J25="",$K25=""),"",SUMPRODUCT(--ISNUMBER(SEARCH(","&amp;Verpleegkundigen!$C$2:$C$100&amp;",",","&amp;LOWER(SUBSTITUTE(SUBSTITUTE($J25," ",""),CHAR(160),""))&amp;","))*(Verpleegkundigen!$C$2:$C$100&lt;&gt;LOWER(SUBSTITUTE(SUBSTITUTE($K25," ",""),CHAR(160),""))),Verpleegkundigen!$B$2:$B$100)+IF($K25&lt;&gt;"",1,0))</f>
        <v/>
      </c>
      <c r="G25" s="7" t="str">
        <f>IF(AND(C25&lt;&gt;"",D25&lt;&gt;"",C25&gt;D25),"+" &amp; TEXT(C25-D25,"0"),"")</f>
        <v/>
      </c>
      <c r="H25" s="8"/>
      <c r="I25" s="7">
        <f>IF($J25="",5,LEN($J25)-LEN(SUBSTITUTE($J25,",",""))+1)</f>
        <v>5</v>
      </c>
      <c r="J25" s="7"/>
      <c r="K25" s="7"/>
      <c r="L25" s="8"/>
    </row>
    <row r="26" spans="1:12" x14ac:dyDescent="0.25">
      <c r="A26" s="9">
        <v>46140</v>
      </c>
      <c r="B26" s="10" t="s">
        <v>12</v>
      </c>
      <c r="C26" s="10">
        <v>0</v>
      </c>
      <c r="D26" s="10" t="str">
        <f>IF(AND($J26="",$K26=""),"",SUMPRODUCT(--ISNUMBER(SEARCH(","&amp;Verpleegkundigen!$C$2:$C$100&amp;",",","&amp;LOWER(SUBSTITUTE(SUBSTITUTE($J26," ",""),CHAR(160),""))&amp;","))*(Verpleegkundigen!$C$2:$C$100&lt;&gt;LOWER(SUBSTITUTE(SUBSTITUTE($K26," ",""),CHAR(160),""))),Verpleegkundigen!$B$2:$B$100)+IF($K26&lt;&gt;"",1,0))</f>
        <v/>
      </c>
      <c r="E26" s="69">
        <f>IF(F26&gt;D26,1,IF(F26=D26,0,-1))</f>
        <v>0</v>
      </c>
      <c r="F26" s="72" t="str">
        <f>IF(AND($J26="",$K26=""),"",SUMPRODUCT(--ISNUMBER(SEARCH(","&amp;Verpleegkundigen!$C$2:$C$100&amp;",",","&amp;LOWER(SUBSTITUTE(SUBSTITUTE($J26," ",""),CHAR(160),""))&amp;","))*(Verpleegkundigen!$C$2:$C$100&lt;&gt;LOWER(SUBSTITUTE(SUBSTITUTE($K26," ",""),CHAR(160),""))),Verpleegkundigen!$B$2:$B$100)+IF($K26&lt;&gt;"",1,0))</f>
        <v/>
      </c>
      <c r="G26" s="10" t="str">
        <f>IF(AND(C26&lt;&gt;"",D26&lt;&gt;"",C26&gt;D26),"+" &amp; TEXT(C26-D26,"0"),"")</f>
        <v/>
      </c>
      <c r="H26" s="4"/>
      <c r="I26" s="7">
        <f>IF($J26="",5,LEN($J26)-LEN(SUBSTITUTE($J26,",",""))+1)</f>
        <v>5</v>
      </c>
      <c r="J26" s="10"/>
      <c r="K26" s="10"/>
      <c r="L26" s="4"/>
    </row>
    <row r="27" spans="1:12" x14ac:dyDescent="0.25">
      <c r="A27" s="6">
        <v>46141</v>
      </c>
      <c r="B27" s="7" t="s">
        <v>14</v>
      </c>
      <c r="C27" s="7">
        <v>0</v>
      </c>
      <c r="D27" s="7" t="str">
        <f>IF(AND($J27="",$K27=""),"",SUMPRODUCT(--ISNUMBER(SEARCH(","&amp;Verpleegkundigen!$C$2:$C$100&amp;",",","&amp;LOWER(SUBSTITUTE(SUBSTITUTE($J27," ",""),CHAR(160),""))&amp;","))*(Verpleegkundigen!$C$2:$C$100&lt;&gt;LOWER(SUBSTITUTE(SUBSTITUTE($K27," ",""),CHAR(160),""))),Verpleegkundigen!$B$2:$B$100)+IF($K27&lt;&gt;"",1,0))</f>
        <v/>
      </c>
      <c r="E27" s="63">
        <f>IF(F27&gt;D27,1,IF(F27=D27,0,-1))</f>
        <v>0</v>
      </c>
      <c r="F27" s="92" t="str">
        <f>IF(AND($J27="",$K27=""),"",SUMPRODUCT(--ISNUMBER(SEARCH(","&amp;Verpleegkundigen!$C$2:$C$100&amp;",",","&amp;LOWER(SUBSTITUTE(SUBSTITUTE($J27," ",""),CHAR(160),""))&amp;","))*(Verpleegkundigen!$C$2:$C$100&lt;&gt;LOWER(SUBSTITUTE(SUBSTITUTE($K27," ",""),CHAR(160),""))),Verpleegkundigen!$B$2:$B$100)+IF($K27&lt;&gt;"",1,0))</f>
        <v/>
      </c>
      <c r="G27" s="7" t="str">
        <f>IF(AND(C27&lt;&gt;"",D27&lt;&gt;"",C27&gt;D27),"+" &amp; TEXT(C27-D27,"0"),"")</f>
        <v/>
      </c>
      <c r="H27" s="8"/>
      <c r="I27" s="7">
        <f>IF($J27="",5,LEN($J27)-LEN(SUBSTITUTE($J27,",",""))+1)</f>
        <v>5</v>
      </c>
      <c r="J27" s="7"/>
      <c r="K27" s="7"/>
      <c r="L27" s="8"/>
    </row>
    <row r="28" spans="1:12" x14ac:dyDescent="0.25">
      <c r="A28" s="9">
        <v>46142</v>
      </c>
      <c r="B28" s="10" t="s">
        <v>16</v>
      </c>
      <c r="C28" s="10">
        <v>0</v>
      </c>
      <c r="D28" s="10" t="str">
        <f>IF(AND($J28="",$K28=""),"",SUMPRODUCT(--ISNUMBER(SEARCH(","&amp;Verpleegkundigen!$C$2:$C$100&amp;",",","&amp;LOWER(SUBSTITUTE(SUBSTITUTE($J28," ",""),CHAR(160),""))&amp;","))*(Verpleegkundigen!$C$2:$C$100&lt;&gt;LOWER(SUBSTITUTE(SUBSTITUTE($K28," ",""),CHAR(160),""))),Verpleegkundigen!$B$2:$B$100)+IF($K28&lt;&gt;"",1,0))</f>
        <v/>
      </c>
      <c r="E28" s="64">
        <f>IF(F28&gt;D28,1,IF(F28=D28,0,-1))</f>
        <v>0</v>
      </c>
      <c r="F28" s="72" t="str">
        <f>IF(AND($J28="",$K28=""),"",SUMPRODUCT(--ISNUMBER(SEARCH(","&amp;Verpleegkundigen!$C$2:$C$100&amp;",",","&amp;LOWER(SUBSTITUTE(SUBSTITUTE($J28," ",""),CHAR(160),""))&amp;","))*(Verpleegkundigen!$C$2:$C$100&lt;&gt;LOWER(SUBSTITUTE(SUBSTITUTE($K28," ",""),CHAR(160),""))),Verpleegkundigen!$B$2:$B$100)+IF($K28&lt;&gt;"",1,0))</f>
        <v/>
      </c>
      <c r="G28" s="10" t="str">
        <f>IF(AND(C28&lt;&gt;"",D28&lt;&gt;"",C28&gt;D28),"+" &amp; TEXT(C28-D28,"0"),"")</f>
        <v/>
      </c>
      <c r="H28" s="4"/>
      <c r="I28" s="7">
        <f>IF($J28="",5,LEN($J28)-LEN(SUBSTITUTE($J28,",",""))+1)</f>
        <v>5</v>
      </c>
      <c r="J28" s="10"/>
      <c r="K28" s="10"/>
      <c r="L28" s="4"/>
    </row>
  </sheetData>
  <conditionalFormatting sqref="C2:C28">
    <cfRule type="expression" dxfId="116" priority="4">
      <formula>AND(ISNUMBER($C2),ISNUMBER($D2),$D2&gt;0,$C2&lt;0.8*$D2)</formula>
    </cfRule>
    <cfRule type="expression" dxfId="115" priority="5">
      <formula>AND(ISNUMBER($C2),ISNUMBER($D2),$D2&gt;0,$C2&gt;=0.8*$D2,$C2&lt;$D2)</formula>
    </cfRule>
    <cfRule type="expression" dxfId="114" priority="6">
      <formula>AND(ISNUMBER($C2),ISNUMBER($D2),$D2&gt;0,$C2&gt;=$D2)</formula>
    </cfRule>
  </conditionalFormatting>
  <conditionalFormatting sqref="I2:I28">
    <cfRule type="expression" dxfId="113" priority="7">
      <formula>$I2=2</formula>
    </cfRule>
    <cfRule type="expression" dxfId="112" priority="8">
      <formula>OR($I2=3,$I2=4)</formula>
    </cfRule>
    <cfRule type="expression" dxfId="111" priority="9">
      <formula>$I2&gt;=5</formula>
    </cfRule>
    <cfRule type="expression" dxfId="110" priority="10">
      <formula>$I2=2</formula>
    </cfRule>
    <cfRule type="expression" dxfId="109" priority="11">
      <formula>OR($I2=3,$I2=4)</formula>
    </cfRule>
    <cfRule type="expression" dxfId="108" priority="12">
      <formula>$I2&gt;=5</formula>
    </cfRule>
  </conditionalFormatting>
  <pageMargins left="0.75" right="0.75" top="1" bottom="1" header="0.5" footer="0.5"/>
  <ignoredErrors>
    <ignoredError sqref="E3:E5 E7:E8 E9:E11 E13:E17 E21:E23 E19:E20 E25:E28" formula="1"/>
  </ignoredErrors>
  <extLst>
    <ext xmlns:x14="http://schemas.microsoft.com/office/spreadsheetml/2009/9/main" uri="{78C0D931-6437-407d-A8EE-F0AAD7539E65}">
      <x14:conditionalFormattings>
        <x14:conditionalFormatting xmlns:xm="http://schemas.microsoft.com/office/excel/2006/main">
          <x14:cfRule type="iconSet" priority="2" id="{C23D48AA-5EAC-40D6-82F0-FC998D57AE0F}">
            <x14:iconSet iconSet="3Triangles" showValue="0">
              <x14:cfvo type="percent">
                <xm:f>0</xm:f>
              </x14:cfvo>
              <x14:cfvo type="formula">
                <xm:f>0</xm:f>
              </x14:cfvo>
              <x14:cfvo type="formula">
                <xm:f>1</xm:f>
              </x14:cfvo>
            </x14:iconSet>
          </x14:cfRule>
          <xm:sqref>E3:E25</xm:sqref>
        </x14:conditionalFormatting>
        <x14:conditionalFormatting xmlns:xm="http://schemas.microsoft.com/office/excel/2006/main">
          <x14:cfRule type="iconSet" priority="1" id="{766D918F-5CE4-4D13-905A-1B7A8B55466B}">
            <x14:iconSet iconSet="3Triangles" showValue="0">
              <x14:cfvo type="percent">
                <xm:f>0</xm:f>
              </x14:cfvo>
              <x14:cfvo type="formula">
                <xm:f>0</xm:f>
              </x14:cfvo>
              <x14:cfvo type="formula">
                <xm:f>1</xm:f>
              </x14:cfvo>
            </x14:iconSet>
          </x14:cfRule>
          <xm:sqref>E26:E28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C26" sqref="C26"/>
    </sheetView>
  </sheetViews>
  <sheetFormatPr defaultColWidth="8.85546875" defaultRowHeight="15" x14ac:dyDescent="0.25"/>
  <cols>
    <col min="1" max="1" width="12.7109375" customWidth="1"/>
    <col min="2" max="2" width="8.7109375" customWidth="1"/>
    <col min="3" max="3" width="18.7109375" customWidth="1"/>
    <col min="4" max="4" width="20.7109375" customWidth="1"/>
    <col min="5" max="5" width="4.5703125"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28515625" bestFit="1" customWidth="1"/>
  </cols>
  <sheetData>
    <row r="1" spans="1:12" x14ac:dyDescent="0.25">
      <c r="A1" s="1" t="s">
        <v>0</v>
      </c>
      <c r="B1" s="1" t="s">
        <v>1</v>
      </c>
      <c r="C1" s="1" t="s">
        <v>2</v>
      </c>
      <c r="D1" s="1" t="s">
        <v>3</v>
      </c>
      <c r="E1" s="1"/>
      <c r="F1" s="1" t="s">
        <v>146</v>
      </c>
      <c r="G1" s="1" t="s">
        <v>4</v>
      </c>
      <c r="H1" s="1" t="s">
        <v>5</v>
      </c>
      <c r="I1" s="1" t="s">
        <v>6</v>
      </c>
      <c r="J1" s="1" t="s">
        <v>7</v>
      </c>
      <c r="K1" s="1" t="s">
        <v>8</v>
      </c>
      <c r="L1" s="1" t="s">
        <v>144</v>
      </c>
    </row>
    <row r="2" spans="1:12" x14ac:dyDescent="0.25">
      <c r="A2" s="3" t="s">
        <v>67</v>
      </c>
      <c r="B2" s="4"/>
      <c r="C2" s="4"/>
      <c r="D2" s="4"/>
      <c r="E2" s="4"/>
      <c r="F2" s="10" t="str">
        <f>IF(AND($J2="",$K2=""),"",SUMPRODUCT(--ISNUMBER(SEARCH(","&amp;Verpleegkundigen!$C$2:$C$100&amp;",",","&amp;LOWER(SUBSTITUTE(SUBSTITUTE($J2," ",""),CHAR(160),""))&amp;","))*(Verpleegkundigen!$C$2:$C$100&lt;&gt;LOWER(SUBSTITUTE(SUBSTITUTE($K2," ",""),CHAR(160),""))),Verpleegkundigen!$B$2:$B$100)+IF($K2&lt;&gt;"",1,0))</f>
        <v/>
      </c>
      <c r="G2" s="4"/>
      <c r="H2" s="4"/>
      <c r="I2" s="5"/>
      <c r="J2" s="4"/>
      <c r="K2" s="4"/>
      <c r="L2" s="4"/>
    </row>
    <row r="3" spans="1:12" x14ac:dyDescent="0.25">
      <c r="A3" s="6">
        <v>46143</v>
      </c>
      <c r="B3" s="7" t="s">
        <v>18</v>
      </c>
      <c r="C3" s="7">
        <v>0</v>
      </c>
      <c r="D3" s="7" t="str">
        <f>IF(AND($J3="",$K3=""),"",SUMPRODUCT(--ISNUMBER(SEARCH(","&amp;Verpleegkundigen!$C$2:$C$100&amp;",",","&amp;LOWER(SUBSTITUTE(SUBSTITUTE($J3," ",""),CHAR(160),""))&amp;","))*(Verpleegkundigen!$C$2:$C$100&lt;&gt;LOWER(SUBSTITUTE(SUBSTITUTE($K3," ",""),CHAR(160),""))),Verpleegkundigen!$B$2:$B$100)+IF($K3&lt;&gt;"",1,0))</f>
        <v/>
      </c>
      <c r="E3" s="63">
        <f>IF(F3&gt;D3,1,IF(F3=D3,0,-1))</f>
        <v>0</v>
      </c>
      <c r="F3" s="90"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3" t="s">
        <v>80</v>
      </c>
      <c r="B4" s="4"/>
      <c r="C4" s="4"/>
      <c r="D4" s="4"/>
      <c r="E4" s="69"/>
      <c r="F4" s="72" t="str">
        <f>IF(AND($J4="",$K4=""),"",SUMPRODUCT(--ISNUMBER(SEARCH(","&amp;Verpleegkundigen!$C$2:$C$100&amp;",",","&amp;LOWER(SUBSTITUTE(SUBSTITUTE($J4," ",""),CHAR(160),""))&amp;","))*(Verpleegkundigen!$C$2:$C$100&lt;&gt;LOWER(SUBSTITUTE(SUBSTITUTE($K4," ",""),CHAR(160),""))),Verpleegkundigen!$B$2:$B$100)+IF($K4&lt;&gt;"",1,0))</f>
        <v/>
      </c>
      <c r="G4" s="4"/>
      <c r="H4" s="4"/>
      <c r="I4" s="5"/>
      <c r="J4" s="4"/>
      <c r="K4" s="4"/>
      <c r="L4" s="4"/>
    </row>
    <row r="5" spans="1:12" x14ac:dyDescent="0.25">
      <c r="A5" s="6">
        <v>46146</v>
      </c>
      <c r="B5" s="7" t="s">
        <v>10</v>
      </c>
      <c r="C5" s="7">
        <v>0</v>
      </c>
      <c r="D5" s="7" t="str">
        <f>IF(AND($J5="",$K5=""),"",SUMPRODUCT(--ISNUMBER(SEARCH(","&amp;Verpleegkundigen!$C$2:$C$100&amp;",",","&amp;LOWER(SUBSTITUTE(SUBSTITUTE($J5," ",""),CHAR(160),""))&amp;","))*(Verpleegkundigen!$C$2:$C$100&lt;&gt;LOWER(SUBSTITUTE(SUBSTITUTE($K5," ",""),CHAR(160),""))),Verpleegkundigen!$B$2:$B$100)+IF($K5&lt;&gt;"",1,0))</f>
        <v/>
      </c>
      <c r="E5" s="63">
        <f>IF(F5&gt;D5,1,IF(F5=D5,0,-1))</f>
        <v>0</v>
      </c>
      <c r="F5" s="90"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8"/>
    </row>
    <row r="6" spans="1:12" x14ac:dyDescent="0.25">
      <c r="A6" s="9">
        <v>46147</v>
      </c>
      <c r="B6" s="10" t="s">
        <v>12</v>
      </c>
      <c r="C6" s="10">
        <v>0</v>
      </c>
      <c r="D6" s="10" t="str">
        <f>IF(AND($J6="",$K6=""),"",SUMPRODUCT(--ISNUMBER(SEARCH(","&amp;Verpleegkundigen!$C$2:$C$100&amp;",",","&amp;LOWER(SUBSTITUTE(SUBSTITUTE($J6," ",""),CHAR(160),""))&amp;","))*(Verpleegkundigen!$C$2:$C$100&lt;&gt;LOWER(SUBSTITUTE(SUBSTITUTE($K6," ",""),CHAR(160),""))),Verpleegkundigen!$B$2:$B$100)+IF($K6&lt;&gt;"",1,0))</f>
        <v/>
      </c>
      <c r="E6" s="69">
        <f>IF(F6&gt;D6,1,IF(F6=D6,0,-1))</f>
        <v>0</v>
      </c>
      <c r="F6" s="72" t="str">
        <f>IF(AND($J6="",$K6=""),"",SUMPRODUCT(--ISNUMBER(SEARCH(","&amp;Verpleegkundigen!$C$2:$C$100&amp;",",","&amp;LOWER(SUBSTITUTE(SUBSTITUTE($J6," ",""),CHAR(160),""))&amp;","))*(Verpleegkundigen!$C$2:$C$100&lt;&gt;LOWER(SUBSTITUTE(SUBSTITUTE($K6," ",""),CHAR(160),""))),Verpleegkundigen!$B$2:$B$100)+IF($K6&lt;&gt;"",1,0))</f>
        <v/>
      </c>
      <c r="G6" s="10" t="str">
        <f>IF(AND(C6&lt;&gt;"",D6&lt;&gt;"",C6&gt;D6),"+" &amp; TEXT(C6-D6,"0"),"")</f>
        <v/>
      </c>
      <c r="H6" s="4"/>
      <c r="I6" s="7">
        <f>IF($J6="",5,LEN($J6)-LEN(SUBSTITUTE($J6,",",""))+1)</f>
        <v>5</v>
      </c>
      <c r="J6" s="10"/>
      <c r="K6" s="10"/>
      <c r="L6" s="4"/>
    </row>
    <row r="7" spans="1:12" x14ac:dyDescent="0.25">
      <c r="A7" s="6">
        <v>46148</v>
      </c>
      <c r="B7" s="7" t="s">
        <v>14</v>
      </c>
      <c r="C7" s="7">
        <v>0</v>
      </c>
      <c r="D7" s="7" t="str">
        <f>IF(AND($J7="",$K7=""),"",SUMPRODUCT(--ISNUMBER(SEARCH(","&amp;Verpleegkundigen!$C$2:$C$100&amp;",",","&amp;LOWER(SUBSTITUTE(SUBSTITUTE($J7," ",""),CHAR(160),""))&amp;","))*(Verpleegkundigen!$C$2:$C$100&lt;&gt;LOWER(SUBSTITUTE(SUBSTITUTE($K7," ",""),CHAR(160),""))),Verpleegkundigen!$B$2:$B$100)+IF($K7&lt;&gt;"",1,0))</f>
        <v/>
      </c>
      <c r="E7" s="63">
        <f>IF(F7&gt;D7,1,IF(F7=D7,0,-1))</f>
        <v>0</v>
      </c>
      <c r="F7" s="90" t="str">
        <f>IF(AND($J7="",$K7=""),"",SUMPRODUCT(--ISNUMBER(SEARCH(","&amp;Verpleegkundigen!$C$2:$C$100&amp;",",","&amp;LOWER(SUBSTITUTE(SUBSTITUTE($J7," ",""),CHAR(160),""))&amp;","))*(Verpleegkundigen!$C$2:$C$100&lt;&gt;LOWER(SUBSTITUTE(SUBSTITUTE($K7," ",""),CHAR(160),""))),Verpleegkundigen!$B$2:$B$100)+IF($K7&lt;&gt;"",1,0))</f>
        <v/>
      </c>
      <c r="G7" s="7" t="str">
        <f>IF(AND(C7&lt;&gt;"",D7&lt;&gt;"",C7&gt;D7),"+" &amp; TEXT(C7-D7,"0"),"")</f>
        <v/>
      </c>
      <c r="H7" s="8"/>
      <c r="I7" s="7">
        <f>IF($J7="",5,LEN($J7)-LEN(SUBSTITUTE($J7,",",""))+1)</f>
        <v>5</v>
      </c>
      <c r="J7" s="7"/>
      <c r="K7" s="7"/>
      <c r="L7" s="8"/>
    </row>
    <row r="8" spans="1:12" x14ac:dyDescent="0.25">
      <c r="A8" s="9">
        <v>46149</v>
      </c>
      <c r="B8" s="10" t="s">
        <v>16</v>
      </c>
      <c r="C8" s="10">
        <v>0</v>
      </c>
      <c r="D8" s="10" t="str">
        <f>IF(AND($J8="",$K8=""),"",SUMPRODUCT(--ISNUMBER(SEARCH(","&amp;Verpleegkundigen!$C$2:$C$100&amp;",",","&amp;LOWER(SUBSTITUTE(SUBSTITUTE($J8," ",""),CHAR(160),""))&amp;","))*(Verpleegkundigen!$C$2:$C$100&lt;&gt;LOWER(SUBSTITUTE(SUBSTITUTE($K8," ",""),CHAR(160),""))),Verpleegkundigen!$B$2:$B$100)+IF($K8&lt;&gt;"",1,0))</f>
        <v/>
      </c>
      <c r="E8" s="69">
        <f>IF(F8&gt;D8,1,IF(F8=D8,0,-1))</f>
        <v>0</v>
      </c>
      <c r="F8" s="72" t="str">
        <f>IF(AND($J8="",$K8=""),"",SUMPRODUCT(--ISNUMBER(SEARCH(","&amp;Verpleegkundigen!$C$2:$C$100&amp;",",","&amp;LOWER(SUBSTITUTE(SUBSTITUTE($J8," ",""),CHAR(160),""))&amp;","))*(Verpleegkundigen!$C$2:$C$100&lt;&gt;LOWER(SUBSTITUTE(SUBSTITUTE($K8," ",""),CHAR(160),""))),Verpleegkundigen!$B$2:$B$100)+IF($K8&lt;&gt;"",1,0))</f>
        <v/>
      </c>
      <c r="G8" s="10" t="str">
        <f>IF(AND(C8&lt;&gt;"",D8&lt;&gt;"",C8&gt;D8),"+" &amp; TEXT(C8-D8,"0"),"")</f>
        <v/>
      </c>
      <c r="H8" s="4"/>
      <c r="I8" s="7">
        <f>IF($J8="",5,LEN($J8)-LEN(SUBSTITUTE($J8,",",""))+1)</f>
        <v>5</v>
      </c>
      <c r="J8" s="10"/>
      <c r="K8" s="10"/>
      <c r="L8" s="4"/>
    </row>
    <row r="9" spans="1:12" x14ac:dyDescent="0.25">
      <c r="A9" s="6">
        <v>46150</v>
      </c>
      <c r="B9" s="7" t="s">
        <v>18</v>
      </c>
      <c r="C9" s="7">
        <v>1</v>
      </c>
      <c r="D9" s="7" t="str">
        <f>IF(AND($J9="",$K9=""),"",SUMPRODUCT(--ISNUMBER(SEARCH(","&amp;Verpleegkundigen!$C$2:$C$100&amp;",",","&amp;LOWER(SUBSTITUTE(SUBSTITUTE($J9," ",""),CHAR(160),""))&amp;","))*(Verpleegkundigen!$C$2:$C$100&lt;&gt;LOWER(SUBSTITUTE(SUBSTITUTE($K9," ",""),CHAR(160),""))),Verpleegkundigen!$B$2:$B$100)+IF($K9&lt;&gt;"",1,0))</f>
        <v/>
      </c>
      <c r="E9" s="67">
        <f>IF(F9&gt;D9,1,IF(F9=D9,0,-1))</f>
        <v>0</v>
      </c>
      <c r="F9" s="90" t="str">
        <f>IF(AND($J9="",$K9=""),"",SUMPRODUCT(--ISNUMBER(SEARCH(","&amp;Verpleegkundigen!$C$2:$C$100&amp;",",","&amp;LOWER(SUBSTITUTE(SUBSTITUTE($J9," ",""),CHAR(160),""))&amp;","))*(Verpleegkundigen!$C$2:$C$100&lt;&gt;LOWER(SUBSTITUTE(SUBSTITUTE($K9," ",""),CHAR(160),""))),Verpleegkundigen!$B$2:$B$100)+IF($K9&lt;&gt;"",1,0))</f>
        <v/>
      </c>
      <c r="G9" s="7" t="str">
        <f>IF(AND(C9&lt;&gt;"",D9&lt;&gt;"",C9&gt;D9),"+" &amp; TEXT(C9-D9,"0"),"")</f>
        <v/>
      </c>
      <c r="H9" s="8"/>
      <c r="I9" s="7">
        <f>IF($J9="",5,LEN($J9)-LEN(SUBSTITUTE($J9,",",""))+1)</f>
        <v>5</v>
      </c>
      <c r="J9" s="7"/>
      <c r="K9" s="7"/>
      <c r="L9" s="8"/>
    </row>
    <row r="10" spans="1:12" x14ac:dyDescent="0.25">
      <c r="A10" s="3" t="s">
        <v>81</v>
      </c>
      <c r="B10" s="4"/>
      <c r="C10" s="4"/>
      <c r="D10" s="4"/>
      <c r="E10" s="69"/>
      <c r="F10" s="72" t="str">
        <f>IF(AND($J10="",$K10=""),"",SUMPRODUCT(--ISNUMBER(SEARCH(","&amp;Verpleegkundigen!$C$2:$C$100&amp;",",","&amp;LOWER(SUBSTITUTE(SUBSTITUTE($J10," ",""),CHAR(160),""))&amp;","))*(Verpleegkundigen!$C$2:$C$100&lt;&gt;LOWER(SUBSTITUTE(SUBSTITUTE($K10," ",""),CHAR(160),""))),Verpleegkundigen!$B$2:$B$100)+IF($K10&lt;&gt;"",1,0))</f>
        <v/>
      </c>
      <c r="G10" s="4"/>
      <c r="H10" s="4"/>
      <c r="I10" s="5"/>
      <c r="J10" s="4"/>
      <c r="K10" s="4"/>
      <c r="L10" s="4"/>
    </row>
    <row r="11" spans="1:12" x14ac:dyDescent="0.25">
      <c r="A11" s="6">
        <v>46153</v>
      </c>
      <c r="B11" s="7" t="s">
        <v>10</v>
      </c>
      <c r="C11" s="7">
        <v>0</v>
      </c>
      <c r="D11" s="7" t="str">
        <f>IF(AND($J11="",$K11=""),"",SUMPRODUCT(--ISNUMBER(SEARCH(","&amp;Verpleegkundigen!$C$2:$C$100&amp;",",","&amp;LOWER(SUBSTITUTE(SUBSTITUTE($J11," ",""),CHAR(160),""))&amp;","))*(Verpleegkundigen!$C$2:$C$100&lt;&gt;LOWER(SUBSTITUTE(SUBSTITUTE($K11," ",""),CHAR(160),""))),Verpleegkundigen!$B$2:$B$100)+IF($K11&lt;&gt;"",1,0))</f>
        <v/>
      </c>
      <c r="E11" s="63">
        <f>IF(F11&gt;D11,1,IF(F11=D11,0,-1))</f>
        <v>0</v>
      </c>
      <c r="F11" s="90" t="str">
        <f>IF(AND($J11="",$K11=""),"",SUMPRODUCT(--ISNUMBER(SEARCH(","&amp;Verpleegkundigen!$C$2:$C$100&amp;",",","&amp;LOWER(SUBSTITUTE(SUBSTITUTE($J11," ",""),CHAR(160),""))&amp;","))*(Verpleegkundigen!$C$2:$C$100&lt;&gt;LOWER(SUBSTITUTE(SUBSTITUTE($K11," ",""),CHAR(160),""))),Verpleegkundigen!$B$2:$B$100)+IF($K11&lt;&gt;"",1,0))</f>
        <v/>
      </c>
      <c r="G11" s="7" t="str">
        <f>IF(AND(C11&lt;&gt;"",D11&lt;&gt;"",C11&gt;D11),"+" &amp; TEXT(C11-D11,"0"),"")</f>
        <v/>
      </c>
      <c r="H11" s="8"/>
      <c r="I11" s="7">
        <f>IF($J11="",5,LEN($J11)-LEN(SUBSTITUTE($J11,",",""))+1)</f>
        <v>5</v>
      </c>
      <c r="J11" s="7"/>
      <c r="K11" s="7"/>
      <c r="L11" s="8"/>
    </row>
    <row r="12" spans="1:12" x14ac:dyDescent="0.25">
      <c r="A12" s="9">
        <v>46154</v>
      </c>
      <c r="B12" s="10" t="s">
        <v>12</v>
      </c>
      <c r="C12" s="10">
        <v>0</v>
      </c>
      <c r="D12" s="10" t="str">
        <f>IF(AND($J12="",$K12=""),"",SUMPRODUCT(--ISNUMBER(SEARCH(","&amp;Verpleegkundigen!$C$2:$C$100&amp;",",","&amp;LOWER(SUBSTITUTE(SUBSTITUTE($J12," ",""),CHAR(160),""))&amp;","))*(Verpleegkundigen!$C$2:$C$100&lt;&gt;LOWER(SUBSTITUTE(SUBSTITUTE($K12," ",""),CHAR(160),""))),Verpleegkundigen!$B$2:$B$100)+IF($K12&lt;&gt;"",1,0))</f>
        <v/>
      </c>
      <c r="E12" s="69">
        <f>IF(F12&gt;D12,1,IF(F12=D12,0,-1))</f>
        <v>0</v>
      </c>
      <c r="F12" s="72" t="str">
        <f>IF(AND($J12="",$K12=""),"",SUMPRODUCT(--ISNUMBER(SEARCH(","&amp;Verpleegkundigen!$C$2:$C$100&amp;",",","&amp;LOWER(SUBSTITUTE(SUBSTITUTE($J12," ",""),CHAR(160),""))&amp;","))*(Verpleegkundigen!$C$2:$C$100&lt;&gt;LOWER(SUBSTITUTE(SUBSTITUTE($K12," ",""),CHAR(160),""))),Verpleegkundigen!$B$2:$B$100)+IF($K12&lt;&gt;"",1,0))</f>
        <v/>
      </c>
      <c r="G12" s="10" t="str">
        <f>IF(AND(C12&lt;&gt;"",D12&lt;&gt;"",C12&gt;D12),"+" &amp; TEXT(C12-D12,"0"),"")</f>
        <v/>
      </c>
      <c r="H12" s="4"/>
      <c r="I12" s="7">
        <f>IF($J12="",5,LEN($J12)-LEN(SUBSTITUTE($J12,",",""))+1)</f>
        <v>5</v>
      </c>
      <c r="J12" s="10"/>
      <c r="K12" s="10"/>
      <c r="L12" s="4"/>
    </row>
    <row r="13" spans="1:12" x14ac:dyDescent="0.25">
      <c r="A13" s="6">
        <v>46155</v>
      </c>
      <c r="B13" s="7" t="s">
        <v>14</v>
      </c>
      <c r="C13" s="7">
        <v>0</v>
      </c>
      <c r="D13" s="7" t="str">
        <f>IF(AND($J13="",$K13=""),"",SUMPRODUCT(--ISNUMBER(SEARCH(","&amp;Verpleegkundigen!$C$2:$C$100&amp;",",","&amp;LOWER(SUBSTITUTE(SUBSTITUTE($J13," ",""),CHAR(160),""))&amp;","))*(Verpleegkundigen!$C$2:$C$100&lt;&gt;LOWER(SUBSTITUTE(SUBSTITUTE($K13," ",""),CHAR(160),""))),Verpleegkundigen!$B$2:$B$100)+IF($K13&lt;&gt;"",1,0))</f>
        <v/>
      </c>
      <c r="E13" s="63">
        <f>IF(F13&gt;D13,1,IF(F13=D13,0,-1))</f>
        <v>0</v>
      </c>
      <c r="F13" s="90" t="str">
        <f>IF(AND($J13="",$K13=""),"",SUMPRODUCT(--ISNUMBER(SEARCH(","&amp;Verpleegkundigen!$C$2:$C$100&amp;",",","&amp;LOWER(SUBSTITUTE(SUBSTITUTE($J13," ",""),CHAR(160),""))&amp;","))*(Verpleegkundigen!$C$2:$C$100&lt;&gt;LOWER(SUBSTITUTE(SUBSTITUTE($K13," ",""),CHAR(160),""))),Verpleegkundigen!$B$2:$B$100)+IF($K13&lt;&gt;"",1,0))</f>
        <v/>
      </c>
      <c r="G13" s="7" t="str">
        <f>IF(AND(C13&lt;&gt;"",D13&lt;&gt;"",C13&gt;D13),"+" &amp; TEXT(C13-D13,"0"),"")</f>
        <v/>
      </c>
      <c r="H13" s="8"/>
      <c r="I13" s="7">
        <f>IF($J13="",5,LEN($J13)-LEN(SUBSTITUTE($J13,",",""))+1)</f>
        <v>5</v>
      </c>
      <c r="J13" s="7"/>
      <c r="K13" s="7"/>
      <c r="L13" s="8"/>
    </row>
    <row r="14" spans="1:12" x14ac:dyDescent="0.25">
      <c r="A14" s="9">
        <v>46156</v>
      </c>
      <c r="B14" s="10" t="s">
        <v>16</v>
      </c>
      <c r="C14" s="10">
        <v>0</v>
      </c>
      <c r="D14" s="10" t="str">
        <f>IF(AND($J14="",$K14=""),"",SUMPRODUCT(--ISNUMBER(SEARCH(","&amp;Verpleegkundigen!$C$2:$C$100&amp;",",","&amp;LOWER(SUBSTITUTE(SUBSTITUTE($J14," ",""),CHAR(160),""))&amp;","))*(Verpleegkundigen!$C$2:$C$100&lt;&gt;LOWER(SUBSTITUTE(SUBSTITUTE($K14," ",""),CHAR(160),""))),Verpleegkundigen!$B$2:$B$100)+IF($K14&lt;&gt;"",1,0))</f>
        <v/>
      </c>
      <c r="E14" s="69">
        <f>IF(F14&gt;D14,1,IF(F14=D14,0,-1))</f>
        <v>0</v>
      </c>
      <c r="F14" s="72" t="str">
        <f>IF(AND($J14="",$K14=""),"",SUMPRODUCT(--ISNUMBER(SEARCH(","&amp;Verpleegkundigen!$C$2:$C$100&amp;",",","&amp;LOWER(SUBSTITUTE(SUBSTITUTE($J14," ",""),CHAR(160),""))&amp;","))*(Verpleegkundigen!$C$2:$C$100&lt;&gt;LOWER(SUBSTITUTE(SUBSTITUTE($K14," ",""),CHAR(160),""))),Verpleegkundigen!$B$2:$B$100)+IF($K14&lt;&gt;"",1,0))</f>
        <v/>
      </c>
      <c r="G14" s="10" t="str">
        <f>IF(AND(C14&lt;&gt;"",D14&lt;&gt;"",C14&gt;D14),"+" &amp; TEXT(C14-D14,"0"),"")</f>
        <v/>
      </c>
      <c r="H14" s="4"/>
      <c r="I14" s="7">
        <f>IF($J14="",5,LEN($J14)-LEN(SUBSTITUTE($J14,",",""))+1)</f>
        <v>5</v>
      </c>
      <c r="J14" s="10"/>
      <c r="K14" s="10"/>
      <c r="L14" s="4"/>
    </row>
    <row r="15" spans="1:12" x14ac:dyDescent="0.25">
      <c r="A15" s="6">
        <v>46157</v>
      </c>
      <c r="B15" s="7" t="s">
        <v>18</v>
      </c>
      <c r="C15" s="7">
        <v>0</v>
      </c>
      <c r="D15" s="7" t="str">
        <f>IF(AND($J15="",$K15=""),"",SUMPRODUCT(--ISNUMBER(SEARCH(","&amp;Verpleegkundigen!$C$2:$C$100&amp;",",","&amp;LOWER(SUBSTITUTE(SUBSTITUTE($J15," ",""),CHAR(160),""))&amp;","))*(Verpleegkundigen!$C$2:$C$100&lt;&gt;LOWER(SUBSTITUTE(SUBSTITUTE($K15," ",""),CHAR(160),""))),Verpleegkundigen!$B$2:$B$100)+IF($K15&lt;&gt;"",1,0))</f>
        <v/>
      </c>
      <c r="E15" s="67">
        <f>IF(F15&gt;D15,1,IF(F15=D15,0,-1))</f>
        <v>0</v>
      </c>
      <c r="F15" s="90" t="str">
        <f>IF(AND($J15="",$K15=""),"",SUMPRODUCT(--ISNUMBER(SEARCH(","&amp;Verpleegkundigen!$C$2:$C$100&amp;",",","&amp;LOWER(SUBSTITUTE(SUBSTITUTE($J15," ",""),CHAR(160),""))&amp;","))*(Verpleegkundigen!$C$2:$C$100&lt;&gt;LOWER(SUBSTITUTE(SUBSTITUTE($K15," ",""),CHAR(160),""))),Verpleegkundigen!$B$2:$B$100)+IF($K15&lt;&gt;"",1,0))</f>
        <v/>
      </c>
      <c r="G15" s="7" t="str">
        <f>IF(AND(C15&lt;&gt;"",D15&lt;&gt;"",C15&gt;D15),"+" &amp; TEXT(C15-D15,"0"),"")</f>
        <v/>
      </c>
      <c r="H15" s="8"/>
      <c r="I15" s="7">
        <f>IF($J15="",5,LEN($J15)-LEN(SUBSTITUTE($J15,",",""))+1)</f>
        <v>5</v>
      </c>
      <c r="J15" s="7"/>
      <c r="K15" s="7"/>
      <c r="L15" s="8"/>
    </row>
    <row r="16" spans="1:12" x14ac:dyDescent="0.25">
      <c r="A16" s="3" t="s">
        <v>82</v>
      </c>
      <c r="B16" s="4"/>
      <c r="C16" s="4"/>
      <c r="D16" s="4"/>
      <c r="E16" s="69"/>
      <c r="F16" s="72" t="str">
        <f>IF(AND($J16="",$K16=""),"",SUMPRODUCT(--ISNUMBER(SEARCH(","&amp;Verpleegkundigen!$C$2:$C$100&amp;",",","&amp;LOWER(SUBSTITUTE(SUBSTITUTE($J16," ",""),CHAR(160),""))&amp;","))*(Verpleegkundigen!$C$2:$C$100&lt;&gt;LOWER(SUBSTITUTE(SUBSTITUTE($K16," ",""),CHAR(160),""))),Verpleegkundigen!$B$2:$B$100)+IF($K16&lt;&gt;"",1,0))</f>
        <v/>
      </c>
      <c r="G16" s="4"/>
      <c r="H16" s="4"/>
      <c r="I16" s="5"/>
      <c r="J16" s="4"/>
      <c r="K16" s="4"/>
      <c r="L16" s="4"/>
    </row>
    <row r="17" spans="1:12" x14ac:dyDescent="0.25">
      <c r="A17" s="6">
        <v>46160</v>
      </c>
      <c r="B17" s="7" t="s">
        <v>10</v>
      </c>
      <c r="C17" s="7">
        <v>0</v>
      </c>
      <c r="D17" s="7" t="str">
        <f>IF(AND($J17="",$K17=""),"",SUMPRODUCT(--ISNUMBER(SEARCH(","&amp;Verpleegkundigen!$C$2:$C$100&amp;",",","&amp;LOWER(SUBSTITUTE(SUBSTITUTE($J17," ",""),CHAR(160),""))&amp;","))*(Verpleegkundigen!$C$2:$C$100&lt;&gt;LOWER(SUBSTITUTE(SUBSTITUTE($K17," ",""),CHAR(160),""))),Verpleegkundigen!$B$2:$B$100)+IF($K17&lt;&gt;"",1,0))</f>
        <v/>
      </c>
      <c r="E17" s="63">
        <f>IF(F17&gt;D17,1,IF(F17=D17,0,-1))</f>
        <v>0</v>
      </c>
      <c r="F17" s="90" t="str">
        <f>IF(AND($J17="",$K17=""),"",SUMPRODUCT(--ISNUMBER(SEARCH(","&amp;Verpleegkundigen!$C$2:$C$100&amp;",",","&amp;LOWER(SUBSTITUTE(SUBSTITUTE($J17," ",""),CHAR(160),""))&amp;","))*(Verpleegkundigen!$C$2:$C$100&lt;&gt;LOWER(SUBSTITUTE(SUBSTITUTE($K17," ",""),CHAR(160),""))),Verpleegkundigen!$B$2:$B$100)+IF($K17&lt;&gt;"",1,0))</f>
        <v/>
      </c>
      <c r="G17" s="7" t="str">
        <f>IF(AND(C17&lt;&gt;"",D17&lt;&gt;"",C17&gt;D17),"+" &amp; TEXT(C17-D17,"0"),"")</f>
        <v/>
      </c>
      <c r="H17" s="8"/>
      <c r="I17" s="7">
        <f>IF($J17="",5,LEN($J17)-LEN(SUBSTITUTE($J17,",",""))+1)</f>
        <v>5</v>
      </c>
      <c r="J17" s="7"/>
      <c r="K17" s="7"/>
      <c r="L17" s="8"/>
    </row>
    <row r="18" spans="1:12" x14ac:dyDescent="0.25">
      <c r="A18" s="9">
        <v>46161</v>
      </c>
      <c r="B18" s="10" t="s">
        <v>12</v>
      </c>
      <c r="C18" s="10">
        <v>0</v>
      </c>
      <c r="D18" s="10" t="str">
        <f>IF(AND($J18="",$K18=""),"",SUMPRODUCT(--ISNUMBER(SEARCH(","&amp;Verpleegkundigen!$C$2:$C$100&amp;",",","&amp;LOWER(SUBSTITUTE(SUBSTITUTE($J18," ",""),CHAR(160),""))&amp;","))*(Verpleegkundigen!$C$2:$C$100&lt;&gt;LOWER(SUBSTITUTE(SUBSTITUTE($K18," ",""),CHAR(160),""))),Verpleegkundigen!$B$2:$B$100)+IF($K18&lt;&gt;"",1,0))</f>
        <v/>
      </c>
      <c r="E18" s="69">
        <f>IF(F18&gt;D18,1,IF(F18=D18,0,-1))</f>
        <v>0</v>
      </c>
      <c r="F18" s="72" t="str">
        <f>IF(AND($J18="",$K18=""),"",SUMPRODUCT(--ISNUMBER(SEARCH(","&amp;Verpleegkundigen!$C$2:$C$100&amp;",",","&amp;LOWER(SUBSTITUTE(SUBSTITUTE($J18," ",""),CHAR(160),""))&amp;","))*(Verpleegkundigen!$C$2:$C$100&lt;&gt;LOWER(SUBSTITUTE(SUBSTITUTE($K18," ",""),CHAR(160),""))),Verpleegkundigen!$B$2:$B$100)+IF($K18&lt;&gt;"",1,0))</f>
        <v/>
      </c>
      <c r="G18" s="10" t="str">
        <f>IF(AND(C18&lt;&gt;"",D18&lt;&gt;"",C18&gt;D18),"+" &amp; TEXT(C18-D18,"0"),"")</f>
        <v/>
      </c>
      <c r="H18" s="4"/>
      <c r="I18" s="7">
        <f>IF($J18="",5,LEN($J18)-LEN(SUBSTITUTE($J18,",",""))+1)</f>
        <v>5</v>
      </c>
      <c r="J18" s="10"/>
      <c r="K18" s="10"/>
      <c r="L18" s="4"/>
    </row>
    <row r="19" spans="1:12" x14ac:dyDescent="0.25">
      <c r="A19" s="6">
        <v>46162</v>
      </c>
      <c r="B19" s="7" t="s">
        <v>14</v>
      </c>
      <c r="C19" s="7">
        <v>0</v>
      </c>
      <c r="D19" s="7" t="str">
        <f>IF(AND($J19="",$K19=""),"",SUMPRODUCT(--ISNUMBER(SEARCH(","&amp;Verpleegkundigen!$C$2:$C$100&amp;",",","&amp;LOWER(SUBSTITUTE(SUBSTITUTE($J19," ",""),CHAR(160),""))&amp;","))*(Verpleegkundigen!$C$2:$C$100&lt;&gt;LOWER(SUBSTITUTE(SUBSTITUTE($K19," ",""),CHAR(160),""))),Verpleegkundigen!$B$2:$B$100)+IF($K19&lt;&gt;"",1,0))</f>
        <v/>
      </c>
      <c r="E19" s="67">
        <f>IF(F19&gt;D19,1,IF(F19=D19,0,-1))</f>
        <v>0</v>
      </c>
      <c r="F19" s="90" t="str">
        <f>IF(AND($J19="",$K19=""),"",SUMPRODUCT(--ISNUMBER(SEARCH(","&amp;Verpleegkundigen!$C$2:$C$100&amp;",",","&amp;LOWER(SUBSTITUTE(SUBSTITUTE($J19," ",""),CHAR(160),""))&amp;","))*(Verpleegkundigen!$C$2:$C$100&lt;&gt;LOWER(SUBSTITUTE(SUBSTITUTE($K19," ",""),CHAR(160),""))),Verpleegkundigen!$B$2:$B$100)+IF($K19&lt;&gt;"",1,0))</f>
        <v/>
      </c>
      <c r="G19" s="7" t="str">
        <f>IF(AND(C19&lt;&gt;"",D19&lt;&gt;"",C19&gt;D19),"+" &amp; TEXT(C19-D19,"0"),"")</f>
        <v/>
      </c>
      <c r="H19" s="8"/>
      <c r="I19" s="7">
        <f>IF($J19="",5,LEN($J19)-LEN(SUBSTITUTE($J19,",",""))+1)</f>
        <v>5</v>
      </c>
      <c r="J19" s="7"/>
      <c r="K19" s="7"/>
      <c r="L19" s="8"/>
    </row>
    <row r="20" spans="1:12" x14ac:dyDescent="0.25">
      <c r="A20" s="9">
        <v>46163</v>
      </c>
      <c r="B20" s="10" t="s">
        <v>16</v>
      </c>
      <c r="C20" s="10">
        <v>0</v>
      </c>
      <c r="D20" s="10" t="str">
        <f>IF(AND($J20="",$K20=""),"",SUMPRODUCT(--ISNUMBER(SEARCH(","&amp;Verpleegkundigen!$C$2:$C$100&amp;",",","&amp;LOWER(SUBSTITUTE(SUBSTITUTE($J20," ",""),CHAR(160),""))&amp;","))*(Verpleegkundigen!$C$2:$C$100&lt;&gt;LOWER(SUBSTITUTE(SUBSTITUTE($K20," ",""),CHAR(160),""))),Verpleegkundigen!$B$2:$B$100)+IF($K20&lt;&gt;"",1,0))</f>
        <v/>
      </c>
      <c r="E20" s="69">
        <f>IF(F20&gt;D20,1,IF(F20=D20,0,-1))</f>
        <v>0</v>
      </c>
      <c r="F20" s="72" t="str">
        <f>IF(AND($J20="",$K20=""),"",SUMPRODUCT(--ISNUMBER(SEARCH(","&amp;Verpleegkundigen!$C$2:$C$100&amp;",",","&amp;LOWER(SUBSTITUTE(SUBSTITUTE($J20," ",""),CHAR(160),""))&amp;","))*(Verpleegkundigen!$C$2:$C$100&lt;&gt;LOWER(SUBSTITUTE(SUBSTITUTE($K20," ",""),CHAR(160),""))),Verpleegkundigen!$B$2:$B$100)+IF($K20&lt;&gt;"",1,0))</f>
        <v/>
      </c>
      <c r="G20" s="10" t="str">
        <f>IF(AND(C20&lt;&gt;"",D20&lt;&gt;"",C20&gt;D20),"+" &amp; TEXT(C20-D20,"0"),"")</f>
        <v/>
      </c>
      <c r="H20" s="4"/>
      <c r="I20" s="7">
        <f>IF($J20="",5,LEN($J20)-LEN(SUBSTITUTE($J20,",",""))+1)</f>
        <v>5</v>
      </c>
      <c r="J20" s="10"/>
      <c r="K20" s="10"/>
      <c r="L20" s="4"/>
    </row>
    <row r="21" spans="1:12" x14ac:dyDescent="0.25">
      <c r="A21" s="6">
        <v>46164</v>
      </c>
      <c r="B21" s="7" t="s">
        <v>18</v>
      </c>
      <c r="C21" s="7">
        <v>0</v>
      </c>
      <c r="D21" s="7" t="str">
        <f>IF(AND($J21="",$K21=""),"",SUMPRODUCT(--ISNUMBER(SEARCH(","&amp;Verpleegkundigen!$C$2:$C$100&amp;",",","&amp;LOWER(SUBSTITUTE(SUBSTITUTE($J21," ",""),CHAR(160),""))&amp;","))*(Verpleegkundigen!$C$2:$C$100&lt;&gt;LOWER(SUBSTITUTE(SUBSTITUTE($K21," ",""),CHAR(160),""))),Verpleegkundigen!$B$2:$B$100)+IF($K21&lt;&gt;"",1,0))</f>
        <v/>
      </c>
      <c r="E21" s="63">
        <f>IF(F21&gt;D21,1,IF(F21=D21,0,-1))</f>
        <v>0</v>
      </c>
      <c r="F21" s="90" t="str">
        <f>IF(AND($J21="",$K21=""),"",SUMPRODUCT(--ISNUMBER(SEARCH(","&amp;Verpleegkundigen!$C$2:$C$100&amp;",",","&amp;LOWER(SUBSTITUTE(SUBSTITUTE($J21," ",""),CHAR(160),""))&amp;","))*(Verpleegkundigen!$C$2:$C$100&lt;&gt;LOWER(SUBSTITUTE(SUBSTITUTE($K21," ",""),CHAR(160),""))),Verpleegkundigen!$B$2:$B$100)+IF($K21&lt;&gt;"",1,0))</f>
        <v/>
      </c>
      <c r="G21" s="7" t="str">
        <f>IF(AND(C21&lt;&gt;"",D21&lt;&gt;"",C21&gt;D21),"+" &amp; TEXT(C21-D21,"0"),"")</f>
        <v/>
      </c>
      <c r="H21" s="8"/>
      <c r="I21" s="7">
        <f>IF($J21="",5,LEN($J21)-LEN(SUBSTITUTE($J21,",",""))+1)</f>
        <v>5</v>
      </c>
      <c r="J21" s="7"/>
      <c r="K21" s="7"/>
      <c r="L21" s="8"/>
    </row>
    <row r="22" spans="1:12" x14ac:dyDescent="0.25">
      <c r="A22" s="3" t="s">
        <v>83</v>
      </c>
      <c r="B22" s="4"/>
      <c r="C22" s="4"/>
      <c r="D22" s="4"/>
      <c r="E22" s="69"/>
      <c r="F22" s="72" t="str">
        <f>IF(AND($J22="",$K22=""),"",SUMPRODUCT(--ISNUMBER(SEARCH(","&amp;Verpleegkundigen!$C$2:$C$100&amp;",",","&amp;LOWER(SUBSTITUTE(SUBSTITUTE($J22," ",""),CHAR(160),""))&amp;","))*(Verpleegkundigen!$C$2:$C$100&lt;&gt;LOWER(SUBSTITUTE(SUBSTITUTE($K22," ",""),CHAR(160),""))),Verpleegkundigen!$B$2:$B$100)+IF($K22&lt;&gt;"",1,0))</f>
        <v/>
      </c>
      <c r="G22" s="4"/>
      <c r="H22" s="4"/>
      <c r="I22" s="5"/>
      <c r="J22" s="4"/>
      <c r="K22" s="4"/>
      <c r="L22" s="4"/>
    </row>
    <row r="23" spans="1:12" x14ac:dyDescent="0.25">
      <c r="A23" s="6">
        <v>46167</v>
      </c>
      <c r="B23" s="7" t="s">
        <v>10</v>
      </c>
      <c r="C23" s="7">
        <v>0</v>
      </c>
      <c r="D23" s="7" t="str">
        <f>IF(AND($J23="",$K23=""),"",SUMPRODUCT(--ISNUMBER(SEARCH(","&amp;Verpleegkundigen!$C$2:$C$100&amp;",",","&amp;LOWER(SUBSTITUTE(SUBSTITUTE($J23," ",""),CHAR(160),""))&amp;","))*(Verpleegkundigen!$C$2:$C$100&lt;&gt;LOWER(SUBSTITUTE(SUBSTITUTE($K23," ",""),CHAR(160),""))),Verpleegkundigen!$B$2:$B$100)+IF($K23&lt;&gt;"",1,0))</f>
        <v/>
      </c>
      <c r="E23" s="63">
        <f>IF(F23&gt;D23,1,IF(F23=D23,0,-1))</f>
        <v>0</v>
      </c>
      <c r="F23" s="90" t="str">
        <f>IF(AND($J23="",$K23=""),"",SUMPRODUCT(--ISNUMBER(SEARCH(","&amp;Verpleegkundigen!$C$2:$C$100&amp;",",","&amp;LOWER(SUBSTITUTE(SUBSTITUTE($J23," ",""),CHAR(160),""))&amp;","))*(Verpleegkundigen!$C$2:$C$100&lt;&gt;LOWER(SUBSTITUTE(SUBSTITUTE($K23," ",""),CHAR(160),""))),Verpleegkundigen!$B$2:$B$100)+IF($K23&lt;&gt;"",1,0))</f>
        <v/>
      </c>
      <c r="G23" s="7" t="str">
        <f>IF(AND(C23&lt;&gt;"",D23&lt;&gt;"",C23&gt;D23),"+" &amp; TEXT(C23-D23,"0"),"")</f>
        <v/>
      </c>
      <c r="H23" s="8"/>
      <c r="I23" s="7">
        <f>IF($J23="",5,LEN($J23)-LEN(SUBSTITUTE($J23,",",""))+1)</f>
        <v>5</v>
      </c>
      <c r="J23" s="7"/>
      <c r="K23" s="7"/>
      <c r="L23" s="8"/>
    </row>
    <row r="24" spans="1:12" x14ac:dyDescent="0.25">
      <c r="A24" s="9">
        <v>46168</v>
      </c>
      <c r="B24" s="10" t="s">
        <v>12</v>
      </c>
      <c r="C24" s="10">
        <v>0</v>
      </c>
      <c r="D24" s="10" t="str">
        <f>IF(AND($J24="",$K24=""),"",SUMPRODUCT(--ISNUMBER(SEARCH(","&amp;Verpleegkundigen!$C$2:$C$100&amp;",",","&amp;LOWER(SUBSTITUTE(SUBSTITUTE($J24," ",""),CHAR(160),""))&amp;","))*(Verpleegkundigen!$C$2:$C$100&lt;&gt;LOWER(SUBSTITUTE(SUBSTITUTE($K24," ",""),CHAR(160),""))),Verpleegkundigen!$B$2:$B$100)+IF($K24&lt;&gt;"",1,0))</f>
        <v/>
      </c>
      <c r="E24" s="69">
        <f>IF(F24&gt;D24,1,IF(F24=D24,0,-1))</f>
        <v>0</v>
      </c>
      <c r="F24" s="72" t="str">
        <f>IF(AND($J24="",$K24=""),"",SUMPRODUCT(--ISNUMBER(SEARCH(","&amp;Verpleegkundigen!$C$2:$C$100&amp;",",","&amp;LOWER(SUBSTITUTE(SUBSTITUTE($J24," ",""),CHAR(160),""))&amp;","))*(Verpleegkundigen!$C$2:$C$100&lt;&gt;LOWER(SUBSTITUTE(SUBSTITUTE($K24," ",""),CHAR(160),""))),Verpleegkundigen!$B$2:$B$100)+IF($K24&lt;&gt;"",1,0))</f>
        <v/>
      </c>
      <c r="G24" s="10" t="str">
        <f>IF(AND(C24&lt;&gt;"",D24&lt;&gt;"",C24&gt;D24),"+" &amp; TEXT(C24-D24,"0"),"")</f>
        <v/>
      </c>
      <c r="H24" s="4"/>
      <c r="I24" s="7">
        <f>IF($J24="",5,LEN($J24)-LEN(SUBSTITUTE($J24,",",""))+1)</f>
        <v>5</v>
      </c>
      <c r="J24" s="10"/>
      <c r="K24" s="10"/>
      <c r="L24" s="4"/>
    </row>
    <row r="25" spans="1:12" x14ac:dyDescent="0.25">
      <c r="A25" s="6">
        <v>46169</v>
      </c>
      <c r="B25" s="7" t="s">
        <v>14</v>
      </c>
      <c r="C25" s="7">
        <v>0</v>
      </c>
      <c r="D25" s="7" t="str">
        <f>IF(AND($J25="",$K25=""),"",SUMPRODUCT(--ISNUMBER(SEARCH(","&amp;Verpleegkundigen!$C$2:$C$100&amp;",",","&amp;LOWER(SUBSTITUTE(SUBSTITUTE($J25," ",""),CHAR(160),""))&amp;","))*(Verpleegkundigen!$C$2:$C$100&lt;&gt;LOWER(SUBSTITUTE(SUBSTITUTE($K25," ",""),CHAR(160),""))),Verpleegkundigen!$B$2:$B$100)+IF($K25&lt;&gt;"",1,0))</f>
        <v/>
      </c>
      <c r="E25" s="63">
        <f>IF(F25&gt;D25,1,IF(F25=D25,0,-1))</f>
        <v>0</v>
      </c>
      <c r="F25" s="90" t="str">
        <f>IF(AND($J25="",$K25=""),"",SUMPRODUCT(--ISNUMBER(SEARCH(","&amp;Verpleegkundigen!$C$2:$C$100&amp;",",","&amp;LOWER(SUBSTITUTE(SUBSTITUTE($J25," ",""),CHAR(160),""))&amp;","))*(Verpleegkundigen!$C$2:$C$100&lt;&gt;LOWER(SUBSTITUTE(SUBSTITUTE($K25," ",""),CHAR(160),""))),Verpleegkundigen!$B$2:$B$100)+IF($K25&lt;&gt;"",1,0))</f>
        <v/>
      </c>
      <c r="G25" s="7" t="str">
        <f>IF(AND(C25&lt;&gt;"",D25&lt;&gt;"",C25&gt;D25),"+" &amp; TEXT(C25-D25,"0"),"")</f>
        <v/>
      </c>
      <c r="H25" s="8"/>
      <c r="I25" s="7">
        <f>IF($J25="",5,LEN($J25)-LEN(SUBSTITUTE($J25,",",""))+1)</f>
        <v>5</v>
      </c>
      <c r="J25" s="7"/>
      <c r="K25" s="7"/>
      <c r="L25" s="8"/>
    </row>
    <row r="26" spans="1:12" x14ac:dyDescent="0.25">
      <c r="A26" s="9">
        <v>46170</v>
      </c>
      <c r="B26" s="10" t="s">
        <v>16</v>
      </c>
      <c r="C26" s="10">
        <v>0</v>
      </c>
      <c r="D26" s="10" t="str">
        <f>IF(AND($J26="",$K26=""),"",SUMPRODUCT(--ISNUMBER(SEARCH(","&amp;Verpleegkundigen!$C$2:$C$100&amp;",",","&amp;LOWER(SUBSTITUTE(SUBSTITUTE($J26," ",""),CHAR(160),""))&amp;","))*(Verpleegkundigen!$C$2:$C$100&lt;&gt;LOWER(SUBSTITUTE(SUBSTITUTE($K26," ",""),CHAR(160),""))),Verpleegkundigen!$B$2:$B$100)+IF($K26&lt;&gt;"",1,0))</f>
        <v/>
      </c>
      <c r="E26" s="69">
        <f>IF(F26&gt;D26,1,IF(F26=D26,0,-1))</f>
        <v>0</v>
      </c>
      <c r="F26" s="72" t="str">
        <f>IF(AND($J26="",$K26=""),"",SUMPRODUCT(--ISNUMBER(SEARCH(","&amp;Verpleegkundigen!$C$2:$C$100&amp;",",","&amp;LOWER(SUBSTITUTE(SUBSTITUTE($J26," ",""),CHAR(160),""))&amp;","))*(Verpleegkundigen!$C$2:$C$100&lt;&gt;LOWER(SUBSTITUTE(SUBSTITUTE($K26," ",""),CHAR(160),""))),Verpleegkundigen!$B$2:$B$100)+IF($K26&lt;&gt;"",1,0))</f>
        <v/>
      </c>
      <c r="G26" s="10" t="str">
        <f>IF(AND(C26&lt;&gt;"",D26&lt;&gt;"",C26&gt;D26),"+" &amp; TEXT(C26-D26,"0"),"")</f>
        <v/>
      </c>
      <c r="H26" s="4"/>
      <c r="I26" s="7">
        <f>IF($J26="",5,LEN($J26)-LEN(SUBSTITUTE($J26,",",""))+1)</f>
        <v>5</v>
      </c>
      <c r="J26" s="10"/>
      <c r="K26" s="10"/>
      <c r="L26" s="4"/>
    </row>
    <row r="27" spans="1:12" x14ac:dyDescent="0.25">
      <c r="A27" s="6">
        <v>46171</v>
      </c>
      <c r="B27" s="7" t="s">
        <v>18</v>
      </c>
      <c r="C27" s="7">
        <v>0</v>
      </c>
      <c r="D27" s="7" t="str">
        <f>IF(AND($J27="",$K27=""),"",SUMPRODUCT(--ISNUMBER(SEARCH(","&amp;Verpleegkundigen!$C$2:$C$100&amp;",",","&amp;LOWER(SUBSTITUTE(SUBSTITUTE($J27," ",""),CHAR(160),""))&amp;","))*(Verpleegkundigen!$C$2:$C$100&lt;&gt;LOWER(SUBSTITUTE(SUBSTITUTE($K27," ",""),CHAR(160),""))),Verpleegkundigen!$B$2:$B$100)+IF($K27&lt;&gt;"",1,0))</f>
        <v/>
      </c>
      <c r="E27" s="63">
        <f>IF(F27&gt;D27,1,IF(F27=D27,0,-1))</f>
        <v>0</v>
      </c>
      <c r="F27" s="90" t="str">
        <f>IF(AND($J27="",$K27=""),"",SUMPRODUCT(--ISNUMBER(SEARCH(","&amp;Verpleegkundigen!$C$2:$C$100&amp;",",","&amp;LOWER(SUBSTITUTE(SUBSTITUTE($J27," ",""),CHAR(160),""))&amp;","))*(Verpleegkundigen!$C$2:$C$100&lt;&gt;LOWER(SUBSTITUTE(SUBSTITUTE($K27," ",""),CHAR(160),""))),Verpleegkundigen!$B$2:$B$100)+IF($K27&lt;&gt;"",1,0))</f>
        <v/>
      </c>
      <c r="G27" s="7" t="str">
        <f>IF(AND(C27&lt;&gt;"",D27&lt;&gt;"",C27&gt;D27),"+" &amp; TEXT(C27-D27,"0"),"")</f>
        <v/>
      </c>
      <c r="H27" s="8"/>
      <c r="I27" s="7">
        <f>IF($J27="",5,LEN($J27)-LEN(SUBSTITUTE($J27,",",""))+1)</f>
        <v>5</v>
      </c>
      <c r="J27" s="7"/>
      <c r="K27" s="7"/>
      <c r="L27" s="8"/>
    </row>
    <row r="28" spans="1:12" x14ac:dyDescent="0.25">
      <c r="E28" s="63"/>
    </row>
  </sheetData>
  <conditionalFormatting sqref="C3:C24 C27">
    <cfRule type="expression" dxfId="107" priority="24">
      <formula>AND(ISNUMBER($C3),ISNUMBER($D3),$C3&lt;0.8*$D3)</formula>
    </cfRule>
    <cfRule type="expression" dxfId="106" priority="25">
      <formula>AND(ISNUMBER($C3),ISNUMBER($D3),$C3&gt;=0.8*$D3,$C3&lt;$D3)</formula>
    </cfRule>
    <cfRule type="expression" dxfId="105" priority="26">
      <formula>AND(ISNUMBER($C3),ISNUMBER($D3),$C3&gt;=$D3)</formula>
    </cfRule>
  </conditionalFormatting>
  <conditionalFormatting sqref="I3:I24 I27">
    <cfRule type="expression" dxfId="104" priority="21">
      <formula>$I3=2</formula>
    </cfRule>
    <cfRule type="expression" dxfId="103" priority="22">
      <formula>OR($I3=3,$I3=4)</formula>
    </cfRule>
    <cfRule type="expression" dxfId="102" priority="23">
      <formula>$I3&gt;=5</formula>
    </cfRule>
  </conditionalFormatting>
  <conditionalFormatting sqref="C25:C26">
    <cfRule type="expression" dxfId="101" priority="12">
      <formula>AND(ISNUMBER($C25),ISNUMBER($D25),$C25&lt;0.8*$D25)</formula>
    </cfRule>
    <cfRule type="expression" dxfId="100" priority="13">
      <formula>AND(ISNUMBER($C25),ISNUMBER($D25),$C25&gt;=0.8*$D25,$C25&lt;$D25)</formula>
    </cfRule>
    <cfRule type="expression" dxfId="99" priority="14">
      <formula>AND(ISNUMBER($C25),ISNUMBER($D25),$C25&gt;=$D25)</formula>
    </cfRule>
  </conditionalFormatting>
  <conditionalFormatting sqref="I25:I26">
    <cfRule type="expression" dxfId="98" priority="9">
      <formula>$I25=2</formula>
    </cfRule>
    <cfRule type="expression" dxfId="97" priority="10">
      <formula>OR($I25=3,$I25=4)</formula>
    </cfRule>
    <cfRule type="expression" dxfId="96" priority="11">
      <formula>$I25&gt;=5</formula>
    </cfRule>
  </conditionalFormatting>
  <pageMargins left="0.75" right="0.75" top="1" bottom="1" header="0.5" footer="0.5"/>
  <ignoredErrors>
    <ignoredError sqref="E3:E27" formula="1"/>
  </ignoredErrors>
  <extLst>
    <ext xmlns:x14="http://schemas.microsoft.com/office/spreadsheetml/2009/9/main" uri="{78C0D931-6437-407d-A8EE-F0AAD7539E65}">
      <x14:conditionalFormattings>
        <x14:conditionalFormatting xmlns:xm="http://schemas.microsoft.com/office/excel/2006/main">
          <x14:cfRule type="iconSet" priority="2" id="{53C22E11-FC2B-483A-BE31-55C0BE95F63E}">
            <x14:iconSet iconSet="3Triangles" showValue="0">
              <x14:cfvo type="percent">
                <xm:f>0</xm:f>
              </x14:cfvo>
              <x14:cfvo type="formula">
                <xm:f>0</xm:f>
              </x14:cfvo>
              <x14:cfvo type="formula">
                <xm:f>1</xm:f>
              </x14:cfvo>
            </x14:iconSet>
          </x14:cfRule>
          <xm:sqref>E3:E25</xm:sqref>
        </x14:conditionalFormatting>
        <x14:conditionalFormatting xmlns:xm="http://schemas.microsoft.com/office/excel/2006/main">
          <x14:cfRule type="iconSet" priority="1" id="{AA14F93C-F9AA-43B4-B904-9A417A8307DB}">
            <x14:iconSet iconSet="3Triangles" showValue="0">
              <x14:cfvo type="percent">
                <xm:f>0</xm:f>
              </x14:cfvo>
              <x14:cfvo type="formula">
                <xm:f>0</xm:f>
              </x14:cfvo>
              <x14:cfvo type="formula">
                <xm:f>1</xm:f>
              </x14:cfvo>
            </x14:iconSet>
          </x14:cfRule>
          <xm:sqref>E26:E28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D4" sqref="D4"/>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4.140625"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7109375" bestFit="1" customWidth="1"/>
  </cols>
  <sheetData>
    <row r="1" spans="1:12" x14ac:dyDescent="0.25">
      <c r="A1" s="1" t="s">
        <v>0</v>
      </c>
      <c r="B1" s="1" t="s">
        <v>1</v>
      </c>
      <c r="C1" s="1" t="s">
        <v>2</v>
      </c>
      <c r="D1" s="1" t="s">
        <v>145</v>
      </c>
      <c r="E1" s="1"/>
      <c r="F1" s="1" t="s">
        <v>146</v>
      </c>
      <c r="G1" s="1" t="s">
        <v>4</v>
      </c>
      <c r="H1" s="1" t="s">
        <v>5</v>
      </c>
      <c r="I1" s="1" t="s">
        <v>6</v>
      </c>
      <c r="J1" s="1" t="s">
        <v>7</v>
      </c>
      <c r="K1" s="1" t="s">
        <v>8</v>
      </c>
      <c r="L1" s="1" t="s">
        <v>148</v>
      </c>
    </row>
    <row r="2" spans="1:12" x14ac:dyDescent="0.25">
      <c r="A2" s="3" t="s">
        <v>84</v>
      </c>
      <c r="B2" s="4"/>
      <c r="C2" s="4"/>
      <c r="D2" s="4"/>
      <c r="E2" s="4"/>
      <c r="F2" s="10" t="str">
        <f>IF(AND($J2="",$K2=""),"",SUMPRODUCT(--ISNUMBER(SEARCH(","&amp;Verpleegkundigen!$C$2:$C$100&amp;",",","&amp;LOWER(SUBSTITUTE(SUBSTITUTE($J2," ",""),CHAR(160),""))&amp;","))*(Verpleegkundigen!$C$2:$C$100&lt;&gt;LOWER(SUBSTITUTE(SUBSTITUTE($K2," ",""),CHAR(160),""))),Verpleegkundigen!$B$2:$B$100)+IF($K2&lt;&gt;"",1,0))</f>
        <v/>
      </c>
      <c r="G2" s="4"/>
      <c r="H2" s="4"/>
      <c r="I2" s="5"/>
      <c r="J2" s="4"/>
      <c r="K2" s="4"/>
      <c r="L2" s="4"/>
    </row>
    <row r="3" spans="1:12" x14ac:dyDescent="0.25">
      <c r="A3" s="6">
        <v>46174</v>
      </c>
      <c r="B3" s="7" t="s">
        <v>10</v>
      </c>
      <c r="C3" s="7">
        <v>5</v>
      </c>
      <c r="D3" s="7" t="str">
        <f>IF(AND($J3="",$K3=""),"",SUMPRODUCT(--ISNUMBER(SEARCH(","&amp;Verpleegkundigen!$C$2:$C$100&amp;",",","&amp;LOWER(SUBSTITUTE(SUBSTITUTE($J3," ",""),CHAR(160),""))&amp;","))*(Verpleegkundigen!$C$2:$C$100&lt;&gt;LOWER(SUBSTITUTE(SUBSTITUTE($K3," ",""),CHAR(160),""))),Verpleegkundigen!$B$2:$B$100)+IF($K3&lt;&gt;"",1,0))</f>
        <v/>
      </c>
      <c r="E3" s="63">
        <f>IF(F3&gt;D3,1,IF(F3=D3,0,-1))</f>
        <v>0</v>
      </c>
      <c r="F3" s="92"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46175</v>
      </c>
      <c r="B4" s="10" t="s">
        <v>12</v>
      </c>
      <c r="C4" s="10">
        <v>5</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6">
        <v>46176</v>
      </c>
      <c r="B5" s="7" t="s">
        <v>14</v>
      </c>
      <c r="C5" s="7">
        <v>5</v>
      </c>
      <c r="D5" s="7" t="str">
        <f>IF(AND($J5="",$K5=""),"",SUMPRODUCT(--ISNUMBER(SEARCH(","&amp;Verpleegkundigen!$C$2:$C$100&amp;",",","&amp;LOWER(SUBSTITUTE(SUBSTITUTE($J5," ",""),CHAR(160),""))&amp;","))*(Verpleegkundigen!$C$2:$C$100&lt;&gt;LOWER(SUBSTITUTE(SUBSTITUTE($K5," ",""),CHAR(160),""))),Verpleegkundigen!$B$2:$B$100)+IF($K5&lt;&gt;"",1,0))</f>
        <v/>
      </c>
      <c r="E5" s="63">
        <f>IF(F5&gt;D5,1,IF(F5=D5,0,-1))</f>
        <v>0</v>
      </c>
      <c r="F5" s="92"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8"/>
    </row>
    <row r="6" spans="1:12" x14ac:dyDescent="0.25">
      <c r="A6" s="9">
        <v>46177</v>
      </c>
      <c r="B6" s="10" t="s">
        <v>16</v>
      </c>
      <c r="C6" s="10">
        <v>7</v>
      </c>
      <c r="D6" s="10" t="str">
        <f>IF(AND($J6="",$K6=""),"",SUMPRODUCT(--ISNUMBER(SEARCH(","&amp;Verpleegkundigen!$C$2:$C$100&amp;",",","&amp;LOWER(SUBSTITUTE(SUBSTITUTE($J6," ",""),CHAR(160),""))&amp;","))*(Verpleegkundigen!$C$2:$C$100&lt;&gt;LOWER(SUBSTITUTE(SUBSTITUTE($K6," ",""),CHAR(160),""))),Verpleegkundigen!$B$2:$B$100)+IF($K6&lt;&gt;"",1,0))</f>
        <v/>
      </c>
      <c r="E6" s="69">
        <f>IF(F6&gt;D6,1,IF(F6=D6,0,-1))</f>
        <v>0</v>
      </c>
      <c r="F6" s="72" t="str">
        <f>IF(AND($J6="",$K6=""),"",SUMPRODUCT(--ISNUMBER(SEARCH(","&amp;Verpleegkundigen!$C$2:$C$100&amp;",",","&amp;LOWER(SUBSTITUTE(SUBSTITUTE($J6," ",""),CHAR(160),""))&amp;","))*(Verpleegkundigen!$C$2:$C$100&lt;&gt;LOWER(SUBSTITUTE(SUBSTITUTE($K6," ",""),CHAR(160),""))),Verpleegkundigen!$B$2:$B$100)+IF($K6&lt;&gt;"",1,0))</f>
        <v/>
      </c>
      <c r="G6" s="10" t="str">
        <f>IF(AND(C6&lt;&gt;"",D6&lt;&gt;"",C6&gt;D6),"+" &amp; TEXT(C6-D6,"0"),"")</f>
        <v/>
      </c>
      <c r="H6" s="4"/>
      <c r="I6" s="7">
        <f>IF($J6="",5,LEN($J6)-LEN(SUBSTITUTE($J6,",",""))+1)</f>
        <v>5</v>
      </c>
      <c r="J6" s="10"/>
      <c r="K6" s="10"/>
      <c r="L6" s="4"/>
    </row>
    <row r="7" spans="1:12" x14ac:dyDescent="0.25">
      <c r="A7" s="6">
        <v>46178</v>
      </c>
      <c r="B7" s="7" t="s">
        <v>18</v>
      </c>
      <c r="C7" s="7">
        <v>5</v>
      </c>
      <c r="D7" s="7" t="str">
        <f>IF(AND($J7="",$K7=""),"",SUMPRODUCT(--ISNUMBER(SEARCH(","&amp;Verpleegkundigen!$C$2:$C$100&amp;",",","&amp;LOWER(SUBSTITUTE(SUBSTITUTE($J7," ",""),CHAR(160),""))&amp;","))*(Verpleegkundigen!$C$2:$C$100&lt;&gt;LOWER(SUBSTITUTE(SUBSTITUTE($K7," ",""),CHAR(160),""))),Verpleegkundigen!$B$2:$B$100)+IF($K7&lt;&gt;"",1,0))</f>
        <v/>
      </c>
      <c r="E7" s="63">
        <f>IF(F7&gt;D7,1,IF(F7=D7,0,-1))</f>
        <v>0</v>
      </c>
      <c r="F7" s="92" t="str">
        <f>IF(AND($J7="",$K7=""),"",SUMPRODUCT(--ISNUMBER(SEARCH(","&amp;Verpleegkundigen!$C$2:$C$100&amp;",",","&amp;LOWER(SUBSTITUTE(SUBSTITUTE($J7," ",""),CHAR(160),""))&amp;","))*(Verpleegkundigen!$C$2:$C$100&lt;&gt;LOWER(SUBSTITUTE(SUBSTITUTE($K7," ",""),CHAR(160),""))),Verpleegkundigen!$B$2:$B$100)+IF($K7&lt;&gt;"",1,0))</f>
        <v/>
      </c>
      <c r="G7" s="7" t="str">
        <f>IF(AND(C7&lt;&gt;"",D7&lt;&gt;"",C7&gt;D7),"+" &amp; TEXT(C7-D7,"0"),"")</f>
        <v/>
      </c>
      <c r="H7" s="8"/>
      <c r="I7" s="7">
        <f>IF($J7="",5,LEN($J7)-LEN(SUBSTITUTE($J7,",",""))+1)</f>
        <v>5</v>
      </c>
      <c r="J7" s="7"/>
      <c r="K7" s="7"/>
      <c r="L7" s="8"/>
    </row>
    <row r="8" spans="1:12" x14ac:dyDescent="0.25">
      <c r="A8" s="3" t="s">
        <v>85</v>
      </c>
      <c r="B8" s="4"/>
      <c r="C8" s="4"/>
      <c r="D8" s="4"/>
      <c r="E8" s="69"/>
      <c r="F8" s="72" t="str">
        <f>IF(AND($J8="",$K8=""),"",SUMPRODUCT(--ISNUMBER(SEARCH(","&amp;Verpleegkundigen!$C$2:$C$100&amp;",",","&amp;LOWER(SUBSTITUTE(SUBSTITUTE($J8," ",""),CHAR(160),""))&amp;","))*(Verpleegkundigen!$C$2:$C$100&lt;&gt;LOWER(SUBSTITUTE(SUBSTITUTE($K8," ",""),CHAR(160),""))),Verpleegkundigen!$B$2:$B$100)+IF($K8&lt;&gt;"",1,0))</f>
        <v/>
      </c>
      <c r="G8" s="4"/>
      <c r="H8" s="4"/>
      <c r="I8" s="5"/>
      <c r="J8" s="4"/>
      <c r="K8" s="4"/>
      <c r="L8" s="4"/>
    </row>
    <row r="9" spans="1:12" x14ac:dyDescent="0.25">
      <c r="A9" s="6">
        <v>46181</v>
      </c>
      <c r="B9" s="7" t="s">
        <v>10</v>
      </c>
      <c r="C9" s="7">
        <v>13</v>
      </c>
      <c r="D9" s="7" t="str">
        <f>IF(AND($J9="",$K9=""),"",SUMPRODUCT(--ISNUMBER(SEARCH(","&amp;Verpleegkundigen!$C$2:$C$100&amp;",",","&amp;LOWER(SUBSTITUTE(SUBSTITUTE($J9," ",""),CHAR(160),""))&amp;","))*(Verpleegkundigen!$C$2:$C$100&lt;&gt;LOWER(SUBSTITUTE(SUBSTITUTE($K9," ",""),CHAR(160),""))),Verpleegkundigen!$B$2:$B$100)+IF($K9&lt;&gt;"",1,0))</f>
        <v/>
      </c>
      <c r="E9" s="67">
        <f>IF(F9&gt;D9,1,IF(F9=D9,0,-1))</f>
        <v>0</v>
      </c>
      <c r="F9" s="92" t="str">
        <f>IF(AND($J9="",$K9=""),"",SUMPRODUCT(--ISNUMBER(SEARCH(","&amp;Verpleegkundigen!$C$2:$C$100&amp;",",","&amp;LOWER(SUBSTITUTE(SUBSTITUTE($J9," ",""),CHAR(160),""))&amp;","))*(Verpleegkundigen!$C$2:$C$100&lt;&gt;LOWER(SUBSTITUTE(SUBSTITUTE($K9," ",""),CHAR(160),""))),Verpleegkundigen!$B$2:$B$100)+IF($K9&lt;&gt;"",1,0))</f>
        <v/>
      </c>
      <c r="G9" s="7" t="str">
        <f>IF(AND(C9&lt;&gt;"",D9&lt;&gt;"",C9&gt;D9),"+" &amp; TEXT(C9-D9,"0"),"")</f>
        <v/>
      </c>
      <c r="H9" s="8"/>
      <c r="I9" s="7">
        <f>IF($J9="",5,LEN($J9)-LEN(SUBSTITUTE($J9,",",""))+1)</f>
        <v>5</v>
      </c>
      <c r="J9" s="7"/>
      <c r="K9" s="7"/>
      <c r="L9" s="8"/>
    </row>
    <row r="10" spans="1:12" x14ac:dyDescent="0.25">
      <c r="A10" s="9">
        <v>46182</v>
      </c>
      <c r="B10" s="10" t="s">
        <v>12</v>
      </c>
      <c r="C10" s="10">
        <v>7</v>
      </c>
      <c r="D10" s="10" t="str">
        <f>IF(AND($J10="",$K10=""),"",SUMPRODUCT(--ISNUMBER(SEARCH(","&amp;Verpleegkundigen!$C$2:$C$100&amp;",",","&amp;LOWER(SUBSTITUTE(SUBSTITUTE($J10," ",""),CHAR(160),""))&amp;","))*(Verpleegkundigen!$C$2:$C$100&lt;&gt;LOWER(SUBSTITUTE(SUBSTITUTE($K10," ",""),CHAR(160),""))),Verpleegkundigen!$B$2:$B$100)+IF($K10&lt;&gt;"",1,0))</f>
        <v/>
      </c>
      <c r="E10" s="69">
        <f>IF(F10&gt;D10,1,IF(F10=D10,0,-1))</f>
        <v>0</v>
      </c>
      <c r="F10" s="72" t="str">
        <f>IF(AND($J10="",$K10=""),"",SUMPRODUCT(--ISNUMBER(SEARCH(","&amp;Verpleegkundigen!$C$2:$C$100&amp;",",","&amp;LOWER(SUBSTITUTE(SUBSTITUTE($J10," ",""),CHAR(160),""))&amp;","))*(Verpleegkundigen!$C$2:$C$100&lt;&gt;LOWER(SUBSTITUTE(SUBSTITUTE($K10," ",""),CHAR(160),""))),Verpleegkundigen!$B$2:$B$100)+IF($K10&lt;&gt;"",1,0))</f>
        <v/>
      </c>
      <c r="G10" s="10" t="str">
        <f>IF(AND(C10&lt;&gt;"",D10&lt;&gt;"",C10&gt;D10),"+" &amp; TEXT(C10-D10,"0"),"")</f>
        <v/>
      </c>
      <c r="H10" s="4"/>
      <c r="I10" s="7">
        <f>IF($J10="",5,LEN($J10)-LEN(SUBSTITUTE($J10,",",""))+1)</f>
        <v>5</v>
      </c>
      <c r="J10" s="10"/>
      <c r="K10" s="10"/>
      <c r="L10" s="4"/>
    </row>
    <row r="11" spans="1:12" x14ac:dyDescent="0.25">
      <c r="A11" s="6">
        <v>46183</v>
      </c>
      <c r="B11" s="7" t="s">
        <v>14</v>
      </c>
      <c r="C11" s="7">
        <v>9</v>
      </c>
      <c r="D11" s="7" t="str">
        <f>IF(AND($J11="",$K11=""),"",SUMPRODUCT(--ISNUMBER(SEARCH(","&amp;Verpleegkundigen!$C$2:$C$100&amp;",",","&amp;LOWER(SUBSTITUTE(SUBSTITUTE($J11," ",""),CHAR(160),""))&amp;","))*(Verpleegkundigen!$C$2:$C$100&lt;&gt;LOWER(SUBSTITUTE(SUBSTITUTE($K11," ",""),CHAR(160),""))),Verpleegkundigen!$B$2:$B$100)+IF($K11&lt;&gt;"",1,0))</f>
        <v/>
      </c>
      <c r="E11" s="63">
        <f>IF(F11&gt;D11,1,IF(F11=D11,0,-1))</f>
        <v>0</v>
      </c>
      <c r="F11" s="92" t="str">
        <f>IF(AND($J11="",$K11=""),"",SUMPRODUCT(--ISNUMBER(SEARCH(","&amp;Verpleegkundigen!$C$2:$C$100&amp;",",","&amp;LOWER(SUBSTITUTE(SUBSTITUTE($J11," ",""),CHAR(160),""))&amp;","))*(Verpleegkundigen!$C$2:$C$100&lt;&gt;LOWER(SUBSTITUTE(SUBSTITUTE($K11," ",""),CHAR(160),""))),Verpleegkundigen!$B$2:$B$100)+IF($K11&lt;&gt;"",1,0))</f>
        <v/>
      </c>
      <c r="G11" s="7" t="str">
        <f>IF(AND(C11&lt;&gt;"",D11&lt;&gt;"",C11&gt;D11),"+" &amp; TEXT(C11-D11,"0"),"")</f>
        <v/>
      </c>
      <c r="H11" s="8"/>
      <c r="I11" s="7">
        <f>IF($J11="",5,LEN($J11)-LEN(SUBSTITUTE($J11,",",""))+1)</f>
        <v>5</v>
      </c>
      <c r="J11" s="7"/>
      <c r="K11" s="7"/>
      <c r="L11" s="8"/>
    </row>
    <row r="12" spans="1:12" x14ac:dyDescent="0.25">
      <c r="A12" s="9">
        <v>46184</v>
      </c>
      <c r="B12" s="10" t="s">
        <v>16</v>
      </c>
      <c r="C12" s="10">
        <v>5</v>
      </c>
      <c r="D12" s="10" t="str">
        <f>IF(AND($J12="",$K12=""),"",SUMPRODUCT(--ISNUMBER(SEARCH(","&amp;Verpleegkundigen!$C$2:$C$100&amp;",",","&amp;LOWER(SUBSTITUTE(SUBSTITUTE($J12," ",""),CHAR(160),""))&amp;","))*(Verpleegkundigen!$C$2:$C$100&lt;&gt;LOWER(SUBSTITUTE(SUBSTITUTE($K12," ",""),CHAR(160),""))),Verpleegkundigen!$B$2:$B$100)+IF($K12&lt;&gt;"",1,0))</f>
        <v/>
      </c>
      <c r="E12" s="69">
        <f>IF(F12&gt;D12,1,IF(F12=D12,0,-1))</f>
        <v>0</v>
      </c>
      <c r="F12" s="72" t="str">
        <f>IF(AND($J12="",$K12=""),"",SUMPRODUCT(--ISNUMBER(SEARCH(","&amp;Verpleegkundigen!$C$2:$C$100&amp;",",","&amp;LOWER(SUBSTITUTE(SUBSTITUTE($J12," ",""),CHAR(160),""))&amp;","))*(Verpleegkundigen!$C$2:$C$100&lt;&gt;LOWER(SUBSTITUTE(SUBSTITUTE($K12," ",""),CHAR(160),""))),Verpleegkundigen!$B$2:$B$100)+IF($K12&lt;&gt;"",1,0))</f>
        <v/>
      </c>
      <c r="G12" s="10" t="str">
        <f>IF(AND(C12&lt;&gt;"",D12&lt;&gt;"",C12&gt;D12),"+" &amp; TEXT(C12-D12,"0"),"")</f>
        <v/>
      </c>
      <c r="H12" s="4"/>
      <c r="I12" s="7">
        <f>IF($J12="",5,LEN($J12)-LEN(SUBSTITUTE($J12,",",""))+1)</f>
        <v>5</v>
      </c>
      <c r="J12" s="10"/>
      <c r="K12" s="10"/>
      <c r="L12" s="4"/>
    </row>
    <row r="13" spans="1:12" x14ac:dyDescent="0.25">
      <c r="A13" s="6">
        <v>46185</v>
      </c>
      <c r="B13" s="7" t="s">
        <v>18</v>
      </c>
      <c r="C13" s="7">
        <v>13</v>
      </c>
      <c r="D13" s="7" t="str">
        <f>IF(AND($J13="",$K13=""),"",SUMPRODUCT(--ISNUMBER(SEARCH(","&amp;Verpleegkundigen!$C$2:$C$100&amp;",",","&amp;LOWER(SUBSTITUTE(SUBSTITUTE($J13," ",""),CHAR(160),""))&amp;","))*(Verpleegkundigen!$C$2:$C$100&lt;&gt;LOWER(SUBSTITUTE(SUBSTITUTE($K13," ",""),CHAR(160),""))),Verpleegkundigen!$B$2:$B$100)+IF($K13&lt;&gt;"",1,0))</f>
        <v/>
      </c>
      <c r="E13" s="63">
        <f>IF(F13&gt;D13,1,IF(F13=D13,0,-1))</f>
        <v>0</v>
      </c>
      <c r="F13" s="92" t="str">
        <f>IF(AND($J13="",$K13=""),"",SUMPRODUCT(--ISNUMBER(SEARCH(","&amp;Verpleegkundigen!$C$2:$C$100&amp;",",","&amp;LOWER(SUBSTITUTE(SUBSTITUTE($J13," ",""),CHAR(160),""))&amp;","))*(Verpleegkundigen!$C$2:$C$100&lt;&gt;LOWER(SUBSTITUTE(SUBSTITUTE($K13," ",""),CHAR(160),""))),Verpleegkundigen!$B$2:$B$100)+IF($K13&lt;&gt;"",1,0))</f>
        <v/>
      </c>
      <c r="G13" s="7" t="str">
        <f>IF(AND(C13&lt;&gt;"",D13&lt;&gt;"",C13&gt;D13),"+" &amp; TEXT(C13-D13,"0"),"")</f>
        <v/>
      </c>
      <c r="H13" s="8"/>
      <c r="I13" s="7">
        <f>IF($J13="",5,LEN($J13)-LEN(SUBSTITUTE($J13,",",""))+1)</f>
        <v>5</v>
      </c>
      <c r="J13" s="7"/>
      <c r="K13" s="7"/>
      <c r="L13" s="8"/>
    </row>
    <row r="14" spans="1:12" x14ac:dyDescent="0.25">
      <c r="A14" s="3" t="s">
        <v>86</v>
      </c>
      <c r="B14" s="4"/>
      <c r="C14" s="4"/>
      <c r="D14" s="4"/>
      <c r="E14" s="69"/>
      <c r="F14" s="72" t="str">
        <f>IF(AND($J14="",$K14=""),"",SUMPRODUCT(--ISNUMBER(SEARCH(","&amp;Verpleegkundigen!$C$2:$C$100&amp;",",","&amp;LOWER(SUBSTITUTE(SUBSTITUTE($J14," ",""),CHAR(160),""))&amp;","))*(Verpleegkundigen!$C$2:$C$100&lt;&gt;LOWER(SUBSTITUTE(SUBSTITUTE($K14," ",""),CHAR(160),""))),Verpleegkundigen!$B$2:$B$100)+IF($K14&lt;&gt;"",1,0))</f>
        <v/>
      </c>
      <c r="G14" s="4"/>
      <c r="H14" s="4"/>
      <c r="I14" s="5"/>
      <c r="J14" s="4"/>
      <c r="K14" s="4"/>
      <c r="L14" s="4"/>
    </row>
    <row r="15" spans="1:12" x14ac:dyDescent="0.25">
      <c r="A15" s="6">
        <v>46188</v>
      </c>
      <c r="B15" s="7" t="s">
        <v>10</v>
      </c>
      <c r="C15" s="7">
        <v>6</v>
      </c>
      <c r="D15" s="7" t="str">
        <f>IF(AND($J15="",$K15=""),"",SUMPRODUCT(--ISNUMBER(SEARCH(","&amp;Verpleegkundigen!$C$2:$C$100&amp;",",","&amp;LOWER(SUBSTITUTE(SUBSTITUTE($J15," ",""),CHAR(160),""))&amp;","))*(Verpleegkundigen!$C$2:$C$100&lt;&gt;LOWER(SUBSTITUTE(SUBSTITUTE($K15," ",""),CHAR(160),""))),Verpleegkundigen!$B$2:$B$100)+IF($K15&lt;&gt;"",1,0))</f>
        <v/>
      </c>
      <c r="E15" s="67">
        <f>IF(F15&gt;D15,1,IF(F15=D15,0,-1))</f>
        <v>0</v>
      </c>
      <c r="F15" s="92" t="str">
        <f>IF(AND($J15="",$K15=""),"",SUMPRODUCT(--ISNUMBER(SEARCH(","&amp;Verpleegkundigen!$C$2:$C$100&amp;",",","&amp;LOWER(SUBSTITUTE(SUBSTITUTE($J15," ",""),CHAR(160),""))&amp;","))*(Verpleegkundigen!$C$2:$C$100&lt;&gt;LOWER(SUBSTITUTE(SUBSTITUTE($K15," ",""),CHAR(160),""))),Verpleegkundigen!$B$2:$B$100)+IF($K15&lt;&gt;"",1,0))</f>
        <v/>
      </c>
      <c r="G15" s="7" t="str">
        <f>IF(AND(C15&lt;&gt;"",D15&lt;&gt;"",C15&gt;D15),"+" &amp; TEXT(C15-D15,"0"),"")</f>
        <v/>
      </c>
      <c r="H15" s="8"/>
      <c r="I15" s="7">
        <f>IF($J15="",5,LEN($J15)-LEN(SUBSTITUTE($J15,",",""))+1)</f>
        <v>5</v>
      </c>
      <c r="J15" s="7"/>
      <c r="K15" s="7"/>
      <c r="L15" s="8"/>
    </row>
    <row r="16" spans="1:12" x14ac:dyDescent="0.25">
      <c r="A16" s="9">
        <v>46189</v>
      </c>
      <c r="B16" s="10" t="s">
        <v>12</v>
      </c>
      <c r="C16" s="10">
        <v>1</v>
      </c>
      <c r="D16" s="10" t="str">
        <f>IF(AND($J16="",$K16=""),"",SUMPRODUCT(--ISNUMBER(SEARCH(","&amp;Verpleegkundigen!$C$2:$C$100&amp;",",","&amp;LOWER(SUBSTITUTE(SUBSTITUTE($J16," ",""),CHAR(160),""))&amp;","))*(Verpleegkundigen!$C$2:$C$100&lt;&gt;LOWER(SUBSTITUTE(SUBSTITUTE($K16," ",""),CHAR(160),""))),Verpleegkundigen!$B$2:$B$100)+IF($K16&lt;&gt;"",1,0))</f>
        <v/>
      </c>
      <c r="E16" s="69">
        <f>IF(F16&gt;D16,1,IF(F16=D16,0,-1))</f>
        <v>0</v>
      </c>
      <c r="F16" s="72" t="str">
        <f>IF(AND($J16="",$K16=""),"",SUMPRODUCT(--ISNUMBER(SEARCH(","&amp;Verpleegkundigen!$C$2:$C$100&amp;",",","&amp;LOWER(SUBSTITUTE(SUBSTITUTE($J16," ",""),CHAR(160),""))&amp;","))*(Verpleegkundigen!$C$2:$C$100&lt;&gt;LOWER(SUBSTITUTE(SUBSTITUTE($K16," ",""),CHAR(160),""))),Verpleegkundigen!$B$2:$B$100)+IF($K16&lt;&gt;"",1,0))</f>
        <v/>
      </c>
      <c r="G16" s="10" t="str">
        <f>IF(AND(C16&lt;&gt;"",D16&lt;&gt;"",C16&gt;D16),"+" &amp; TEXT(C16-D16,"0"),"")</f>
        <v/>
      </c>
      <c r="H16" s="4"/>
      <c r="I16" s="7">
        <f>IF($J16="",5,LEN($J16)-LEN(SUBSTITUTE($J16,",",""))+1)</f>
        <v>5</v>
      </c>
      <c r="J16" s="10"/>
      <c r="K16" s="10"/>
      <c r="L16" s="4"/>
    </row>
    <row r="17" spans="1:12" x14ac:dyDescent="0.25">
      <c r="A17" s="6">
        <v>46190</v>
      </c>
      <c r="B17" s="7" t="s">
        <v>14</v>
      </c>
      <c r="C17" s="7">
        <v>1</v>
      </c>
      <c r="D17" s="7" t="str">
        <f>IF(AND($J17="",$K17=""),"",SUMPRODUCT(--ISNUMBER(SEARCH(","&amp;Verpleegkundigen!$C$2:$C$100&amp;",",","&amp;LOWER(SUBSTITUTE(SUBSTITUTE($J17," ",""),CHAR(160),""))&amp;","))*(Verpleegkundigen!$C$2:$C$100&lt;&gt;LOWER(SUBSTITUTE(SUBSTITUTE($K17," ",""),CHAR(160),""))),Verpleegkundigen!$B$2:$B$100)+IF($K17&lt;&gt;"",1,0))</f>
        <v/>
      </c>
      <c r="E17" s="63">
        <f>IF(F17&gt;D17,1,IF(F17=D17,0,-1))</f>
        <v>0</v>
      </c>
      <c r="F17" s="92" t="str">
        <f>IF(AND($J17="",$K17=""),"",SUMPRODUCT(--ISNUMBER(SEARCH(","&amp;Verpleegkundigen!$C$2:$C$100&amp;",",","&amp;LOWER(SUBSTITUTE(SUBSTITUTE($J17," ",""),CHAR(160),""))&amp;","))*(Verpleegkundigen!$C$2:$C$100&lt;&gt;LOWER(SUBSTITUTE(SUBSTITUTE($K17," ",""),CHAR(160),""))),Verpleegkundigen!$B$2:$B$100)+IF($K17&lt;&gt;"",1,0))</f>
        <v/>
      </c>
      <c r="G17" s="7" t="str">
        <f>IF(AND(C17&lt;&gt;"",D17&lt;&gt;"",C17&gt;D17),"+" &amp; TEXT(C17-D17,"0"),"")</f>
        <v/>
      </c>
      <c r="H17" s="8"/>
      <c r="I17" s="7">
        <f>IF($J17="",5,LEN($J17)-LEN(SUBSTITUTE($J17,",",""))+1)</f>
        <v>5</v>
      </c>
      <c r="J17" s="7"/>
      <c r="K17" s="7"/>
      <c r="L17" s="8"/>
    </row>
    <row r="18" spans="1:12" x14ac:dyDescent="0.25">
      <c r="A18" s="9">
        <v>46191</v>
      </c>
      <c r="B18" s="10" t="s">
        <v>16</v>
      </c>
      <c r="C18" s="10">
        <v>1</v>
      </c>
      <c r="D18" s="10" t="str">
        <f>IF(AND($J18="",$K18=""),"",SUMPRODUCT(--ISNUMBER(SEARCH(","&amp;Verpleegkundigen!$C$2:$C$100&amp;",",","&amp;LOWER(SUBSTITUTE(SUBSTITUTE($J18," ",""),CHAR(160),""))&amp;","))*(Verpleegkundigen!$C$2:$C$100&lt;&gt;LOWER(SUBSTITUTE(SUBSTITUTE($K18," ",""),CHAR(160),""))),Verpleegkundigen!$B$2:$B$100)+IF($K18&lt;&gt;"",1,0))</f>
        <v/>
      </c>
      <c r="E18" s="69">
        <f>IF(F18&gt;D18,1,IF(F18=D18,0,-1))</f>
        <v>0</v>
      </c>
      <c r="F18" s="72" t="str">
        <f>IF(AND($J18="",$K18=""),"",SUMPRODUCT(--ISNUMBER(SEARCH(","&amp;Verpleegkundigen!$C$2:$C$100&amp;",",","&amp;LOWER(SUBSTITUTE(SUBSTITUTE($J18," ",""),CHAR(160),""))&amp;","))*(Verpleegkundigen!$C$2:$C$100&lt;&gt;LOWER(SUBSTITUTE(SUBSTITUTE($K18," ",""),CHAR(160),""))),Verpleegkundigen!$B$2:$B$100)+IF($K18&lt;&gt;"",1,0))</f>
        <v/>
      </c>
      <c r="G18" s="10" t="str">
        <f>IF(AND(C18&lt;&gt;"",D18&lt;&gt;"",C18&gt;D18),"+" &amp; TEXT(C18-D18,"0"),"")</f>
        <v/>
      </c>
      <c r="H18" s="4"/>
      <c r="I18" s="7">
        <f>IF($J18="",5,LEN($J18)-LEN(SUBSTITUTE($J18,",",""))+1)</f>
        <v>5</v>
      </c>
      <c r="J18" s="10"/>
      <c r="K18" s="10"/>
      <c r="L18" s="4"/>
    </row>
    <row r="19" spans="1:12" x14ac:dyDescent="0.25">
      <c r="A19" s="6">
        <v>46192</v>
      </c>
      <c r="B19" s="7" t="s">
        <v>18</v>
      </c>
      <c r="C19" s="7">
        <v>1</v>
      </c>
      <c r="D19" s="7" t="str">
        <f>IF(AND($J19="",$K19=""),"",SUMPRODUCT(--ISNUMBER(SEARCH(","&amp;Verpleegkundigen!$C$2:$C$100&amp;",",","&amp;LOWER(SUBSTITUTE(SUBSTITUTE($J19," ",""),CHAR(160),""))&amp;","))*(Verpleegkundigen!$C$2:$C$100&lt;&gt;LOWER(SUBSTITUTE(SUBSTITUTE($K19," ",""),CHAR(160),""))),Verpleegkundigen!$B$2:$B$100)+IF($K19&lt;&gt;"",1,0))</f>
        <v/>
      </c>
      <c r="E19" s="67">
        <f>IF(F19&gt;D19,1,IF(F19=D19,0,-1))</f>
        <v>0</v>
      </c>
      <c r="F19" s="92" t="str">
        <f>IF(AND($J19="",$K19=""),"",SUMPRODUCT(--ISNUMBER(SEARCH(","&amp;Verpleegkundigen!$C$2:$C$100&amp;",",","&amp;LOWER(SUBSTITUTE(SUBSTITUTE($J19," ",""),CHAR(160),""))&amp;","))*(Verpleegkundigen!$C$2:$C$100&lt;&gt;LOWER(SUBSTITUTE(SUBSTITUTE($K19," ",""),CHAR(160),""))),Verpleegkundigen!$B$2:$B$100)+IF($K19&lt;&gt;"",1,0))</f>
        <v/>
      </c>
      <c r="G19" s="7" t="str">
        <f>IF(AND(C19&lt;&gt;"",D19&lt;&gt;"",C19&gt;D19),"+" &amp; TEXT(C19-D19,"0"),"")</f>
        <v/>
      </c>
      <c r="H19" s="8"/>
      <c r="I19" s="7">
        <f>IF($J19="",5,LEN($J19)-LEN(SUBSTITUTE($J19,",",""))+1)</f>
        <v>5</v>
      </c>
      <c r="J19" s="7"/>
      <c r="K19" s="7"/>
      <c r="L19" s="8"/>
    </row>
    <row r="20" spans="1:12" x14ac:dyDescent="0.25">
      <c r="A20" s="3" t="s">
        <v>87</v>
      </c>
      <c r="B20" s="4"/>
      <c r="C20" s="4"/>
      <c r="D20" s="4"/>
      <c r="E20" s="69"/>
      <c r="F20" s="72" t="str">
        <f>IF(AND($J20="",$K20=""),"",SUMPRODUCT(--ISNUMBER(SEARCH(","&amp;Verpleegkundigen!$C$2:$C$100&amp;",",","&amp;LOWER(SUBSTITUTE(SUBSTITUTE($J20," ",""),CHAR(160),""))&amp;","))*(Verpleegkundigen!$C$2:$C$100&lt;&gt;LOWER(SUBSTITUTE(SUBSTITUTE($K20," ",""),CHAR(160),""))),Verpleegkundigen!$B$2:$B$100)+IF($K20&lt;&gt;"",1,0))</f>
        <v/>
      </c>
      <c r="G20" s="4"/>
      <c r="H20" s="4"/>
      <c r="I20" s="5"/>
      <c r="J20" s="4"/>
      <c r="K20" s="4"/>
      <c r="L20" s="4"/>
    </row>
    <row r="21" spans="1:12" x14ac:dyDescent="0.25">
      <c r="A21" s="6">
        <v>46195</v>
      </c>
      <c r="B21" s="7" t="s">
        <v>10</v>
      </c>
      <c r="C21" s="7">
        <v>0</v>
      </c>
      <c r="D21" s="7" t="str">
        <f>IF(AND($J21="",$K21=""),"",SUMPRODUCT(--ISNUMBER(SEARCH(","&amp;Verpleegkundigen!$C$2:$C$100&amp;",",","&amp;LOWER(SUBSTITUTE(SUBSTITUTE($J21," ",""),CHAR(160),""))&amp;","))*(Verpleegkundigen!$C$2:$C$100&lt;&gt;LOWER(SUBSTITUTE(SUBSTITUTE($K21," ",""),CHAR(160),""))),Verpleegkundigen!$B$2:$B$100)+IF($K21&lt;&gt;"",1,0))</f>
        <v/>
      </c>
      <c r="E21" s="63">
        <f>IF(F21&gt;D21,1,IF(F21=D21,0,-1))</f>
        <v>0</v>
      </c>
      <c r="F21" s="92" t="str">
        <f>IF(AND($J21="",$K21=""),"",SUMPRODUCT(--ISNUMBER(SEARCH(","&amp;Verpleegkundigen!$C$2:$C$100&amp;",",","&amp;LOWER(SUBSTITUTE(SUBSTITUTE($J21," ",""),CHAR(160),""))&amp;","))*(Verpleegkundigen!$C$2:$C$100&lt;&gt;LOWER(SUBSTITUTE(SUBSTITUTE($K21," ",""),CHAR(160),""))),Verpleegkundigen!$B$2:$B$100)+IF($K21&lt;&gt;"",1,0))</f>
        <v/>
      </c>
      <c r="G21" s="7" t="str">
        <f>IF(AND(C21&lt;&gt;"",D21&lt;&gt;"",C21&gt;D21),"+" &amp; TEXT(C21-D21,"0"),"")</f>
        <v/>
      </c>
      <c r="H21" s="8"/>
      <c r="I21" s="7">
        <f>IF($J21="",5,LEN($J21)-LEN(SUBSTITUTE($J21,",",""))+1)</f>
        <v>5</v>
      </c>
      <c r="J21" s="7"/>
      <c r="K21" s="7"/>
      <c r="L21" s="8"/>
    </row>
    <row r="22" spans="1:12" x14ac:dyDescent="0.25">
      <c r="A22" s="9">
        <v>46196</v>
      </c>
      <c r="B22" s="10" t="s">
        <v>12</v>
      </c>
      <c r="C22" s="10">
        <v>0</v>
      </c>
      <c r="D22" s="10" t="str">
        <f>IF(AND($J22="",$K22=""),"",SUMPRODUCT(--ISNUMBER(SEARCH(","&amp;Verpleegkundigen!$C$2:$C$100&amp;",",","&amp;LOWER(SUBSTITUTE(SUBSTITUTE($J22," ",""),CHAR(160),""))&amp;","))*(Verpleegkundigen!$C$2:$C$100&lt;&gt;LOWER(SUBSTITUTE(SUBSTITUTE($K22," ",""),CHAR(160),""))),Verpleegkundigen!$B$2:$B$100)+IF($K22&lt;&gt;"",1,0))</f>
        <v/>
      </c>
      <c r="E22" s="69">
        <f>IF(F22&gt;D22,1,IF(F22=D22,0,-1))</f>
        <v>0</v>
      </c>
      <c r="F22" s="72" t="str">
        <f>IF(AND($J22="",$K22=""),"",SUMPRODUCT(--ISNUMBER(SEARCH(","&amp;Verpleegkundigen!$C$2:$C$100&amp;",",","&amp;LOWER(SUBSTITUTE(SUBSTITUTE($J22," ",""),CHAR(160),""))&amp;","))*(Verpleegkundigen!$C$2:$C$100&lt;&gt;LOWER(SUBSTITUTE(SUBSTITUTE($K22," ",""),CHAR(160),""))),Verpleegkundigen!$B$2:$B$100)+IF($K22&lt;&gt;"",1,0))</f>
        <v/>
      </c>
      <c r="G22" s="10" t="str">
        <f>IF(AND(C22&lt;&gt;"",D22&lt;&gt;"",C22&gt;D22),"+" &amp; TEXT(C22-D22,"0"),"")</f>
        <v/>
      </c>
      <c r="H22" s="4"/>
      <c r="I22" s="7">
        <f>IF($J22="",5,LEN($J22)-LEN(SUBSTITUTE($J22,",",""))+1)</f>
        <v>5</v>
      </c>
      <c r="J22" s="10"/>
      <c r="K22" s="10"/>
      <c r="L22" s="4"/>
    </row>
    <row r="23" spans="1:12" x14ac:dyDescent="0.25">
      <c r="A23" s="6">
        <v>46197</v>
      </c>
      <c r="B23" s="7" t="s">
        <v>14</v>
      </c>
      <c r="C23" s="7">
        <v>1</v>
      </c>
      <c r="D23" s="7" t="str">
        <f>IF(AND($J23="",$K23=""),"",SUMPRODUCT(--ISNUMBER(SEARCH(","&amp;Verpleegkundigen!$C$2:$C$100&amp;",",","&amp;LOWER(SUBSTITUTE(SUBSTITUTE($J23," ",""),CHAR(160),""))&amp;","))*(Verpleegkundigen!$C$2:$C$100&lt;&gt;LOWER(SUBSTITUTE(SUBSTITUTE($K23," ",""),CHAR(160),""))),Verpleegkundigen!$B$2:$B$100)+IF($K23&lt;&gt;"",1,0))</f>
        <v/>
      </c>
      <c r="E23" s="63">
        <f>IF(F23&gt;D23,1,IF(F23=D23,0,-1))</f>
        <v>0</v>
      </c>
      <c r="F23" s="92" t="str">
        <f>IF(AND($J23="",$K23=""),"",SUMPRODUCT(--ISNUMBER(SEARCH(","&amp;Verpleegkundigen!$C$2:$C$100&amp;",",","&amp;LOWER(SUBSTITUTE(SUBSTITUTE($J23," ",""),CHAR(160),""))&amp;","))*(Verpleegkundigen!$C$2:$C$100&lt;&gt;LOWER(SUBSTITUTE(SUBSTITUTE($K23," ",""),CHAR(160),""))),Verpleegkundigen!$B$2:$B$100)+IF($K23&lt;&gt;"",1,0))</f>
        <v/>
      </c>
      <c r="G23" s="7" t="str">
        <f>IF(AND(C23&lt;&gt;"",D23&lt;&gt;"",C23&gt;D23),"+" &amp; TEXT(C23-D23,"0"),"")</f>
        <v/>
      </c>
      <c r="H23" s="8"/>
      <c r="I23" s="7">
        <f>IF($J23="",5,LEN($J23)-LEN(SUBSTITUTE($J23,",",""))+1)</f>
        <v>5</v>
      </c>
      <c r="J23" s="7"/>
      <c r="K23" s="7"/>
      <c r="L23" s="8"/>
    </row>
    <row r="24" spans="1:12" x14ac:dyDescent="0.25">
      <c r="A24" s="9">
        <v>46198</v>
      </c>
      <c r="B24" s="10" t="s">
        <v>16</v>
      </c>
      <c r="C24" s="10">
        <v>0</v>
      </c>
      <c r="D24" s="10" t="str">
        <f>IF(AND($J24="",$K24=""),"",SUMPRODUCT(--ISNUMBER(SEARCH(","&amp;Verpleegkundigen!$C$2:$C$100&amp;",",","&amp;LOWER(SUBSTITUTE(SUBSTITUTE($J24," ",""),CHAR(160),""))&amp;","))*(Verpleegkundigen!$C$2:$C$100&lt;&gt;LOWER(SUBSTITUTE(SUBSTITUTE($K24," ",""),CHAR(160),""))),Verpleegkundigen!$B$2:$B$100)+IF($K24&lt;&gt;"",1,0))</f>
        <v/>
      </c>
      <c r="E24" s="69">
        <f>IF(F24&gt;D24,1,IF(F24=D24,0,-1))</f>
        <v>0</v>
      </c>
      <c r="F24" s="72" t="str">
        <f>IF(AND($J24="",$K24=""),"",SUMPRODUCT(--ISNUMBER(SEARCH(","&amp;Verpleegkundigen!$C$2:$C$100&amp;",",","&amp;LOWER(SUBSTITUTE(SUBSTITUTE($J24," ",""),CHAR(160),""))&amp;","))*(Verpleegkundigen!$C$2:$C$100&lt;&gt;LOWER(SUBSTITUTE(SUBSTITUTE($K24," ",""),CHAR(160),""))),Verpleegkundigen!$B$2:$B$100)+IF($K24&lt;&gt;"",1,0))</f>
        <v/>
      </c>
      <c r="G24" s="10" t="str">
        <f>IF(AND(C24&lt;&gt;"",D24&lt;&gt;"",C24&gt;D24),"+" &amp; TEXT(C24-D24,"0"),"")</f>
        <v/>
      </c>
      <c r="H24" s="4"/>
      <c r="I24" s="7">
        <f>IF($J24="",5,LEN($J24)-LEN(SUBSTITUTE($J24,",",""))+1)</f>
        <v>5</v>
      </c>
      <c r="J24" s="10"/>
      <c r="K24" s="10"/>
      <c r="L24" s="4"/>
    </row>
    <row r="25" spans="1:12" x14ac:dyDescent="0.25">
      <c r="A25" s="6">
        <v>46199</v>
      </c>
      <c r="B25" s="7" t="s">
        <v>18</v>
      </c>
      <c r="C25" s="7">
        <v>0</v>
      </c>
      <c r="D25" s="7" t="str">
        <f>IF(AND($J25="",$K25=""),"",SUMPRODUCT(--ISNUMBER(SEARCH(","&amp;Verpleegkundigen!$C$2:$C$100&amp;",",","&amp;LOWER(SUBSTITUTE(SUBSTITUTE($J25," ",""),CHAR(160),""))&amp;","))*(Verpleegkundigen!$C$2:$C$100&lt;&gt;LOWER(SUBSTITUTE(SUBSTITUTE($K25," ",""),CHAR(160),""))),Verpleegkundigen!$B$2:$B$100)+IF($K25&lt;&gt;"",1,0))</f>
        <v/>
      </c>
      <c r="E25" s="63">
        <f>IF(F25&gt;D25,1,IF(F25=D25,0,-1))</f>
        <v>0</v>
      </c>
      <c r="F25" s="92" t="str">
        <f>IF(AND($J25="",$K25=""),"",SUMPRODUCT(--ISNUMBER(SEARCH(","&amp;Verpleegkundigen!$C$2:$C$100&amp;",",","&amp;LOWER(SUBSTITUTE(SUBSTITUTE($J25," ",""),CHAR(160),""))&amp;","))*(Verpleegkundigen!$C$2:$C$100&lt;&gt;LOWER(SUBSTITUTE(SUBSTITUTE($K25," ",""),CHAR(160),""))),Verpleegkundigen!$B$2:$B$100)+IF($K25&lt;&gt;"",1,0))</f>
        <v/>
      </c>
      <c r="G25" s="7" t="str">
        <f>IF(AND(C25&lt;&gt;"",D25&lt;&gt;"",C25&gt;D25),"+" &amp; TEXT(C25-D25,"0"),"")</f>
        <v/>
      </c>
      <c r="H25" s="8"/>
      <c r="I25" s="7">
        <f>IF($J25="",5,LEN($J25)-LEN(SUBSTITUTE($J25,",",""))+1)</f>
        <v>5</v>
      </c>
      <c r="J25" s="7"/>
      <c r="K25" s="7"/>
      <c r="L25" s="8"/>
    </row>
    <row r="26" spans="1:12" x14ac:dyDescent="0.25">
      <c r="A26" s="3" t="s">
        <v>88</v>
      </c>
      <c r="B26" s="4"/>
      <c r="C26" s="4"/>
      <c r="D26" s="4"/>
      <c r="E26" s="69"/>
      <c r="F26" s="72" t="str">
        <f>IF(AND($J26="",$K26=""),"",SUMPRODUCT(--ISNUMBER(SEARCH(","&amp;Verpleegkundigen!$C$2:$C$100&amp;",",","&amp;LOWER(SUBSTITUTE(SUBSTITUTE($J26," ",""),CHAR(160),""))&amp;","))*(Verpleegkundigen!$C$2:$C$100&lt;&gt;LOWER(SUBSTITUTE(SUBSTITUTE($K26," ",""),CHAR(160),""))),Verpleegkundigen!$B$2:$B$100)+IF($K26&lt;&gt;"",1,0))</f>
        <v/>
      </c>
      <c r="G26" s="4"/>
      <c r="H26" s="4"/>
      <c r="I26" s="5"/>
      <c r="J26" s="4"/>
      <c r="K26" s="4"/>
      <c r="L26" s="4"/>
    </row>
    <row r="27" spans="1:12" x14ac:dyDescent="0.25">
      <c r="A27" s="6">
        <v>46202</v>
      </c>
      <c r="B27" s="7" t="s">
        <v>10</v>
      </c>
      <c r="C27" s="7">
        <v>0</v>
      </c>
      <c r="D27" s="7" t="str">
        <f>IF(AND($J27="",$K27=""),"",SUMPRODUCT(--ISNUMBER(SEARCH(","&amp;Verpleegkundigen!$C$2:$C$100&amp;",",","&amp;LOWER(SUBSTITUTE(SUBSTITUTE($J27," ",""),CHAR(160),""))&amp;","))*(Verpleegkundigen!$C$2:$C$100&lt;&gt;LOWER(SUBSTITUTE(SUBSTITUTE($K27," ",""),CHAR(160),""))),Verpleegkundigen!$B$2:$B$100)+IF($K27&lt;&gt;"",1,0))</f>
        <v/>
      </c>
      <c r="E27" s="63">
        <f>IF(F27&gt;D27,1,IF(F27=D27,0,-1))</f>
        <v>0</v>
      </c>
      <c r="F27" s="92" t="str">
        <f>IF(AND($J27="",$K27=""),"",SUMPRODUCT(--ISNUMBER(SEARCH(","&amp;Verpleegkundigen!$C$2:$C$100&amp;",",","&amp;LOWER(SUBSTITUTE(SUBSTITUTE($J27," ",""),CHAR(160),""))&amp;","))*(Verpleegkundigen!$C$2:$C$100&lt;&gt;LOWER(SUBSTITUTE(SUBSTITUTE($K27," ",""),CHAR(160),""))),Verpleegkundigen!$B$2:$B$100)+IF($K27&lt;&gt;"",1,0))</f>
        <v/>
      </c>
      <c r="G27" s="7" t="str">
        <f>IF(AND(C27&lt;&gt;"",D27&lt;&gt;"",C27&gt;D27),"+" &amp; TEXT(C27-D27,"0"),"")</f>
        <v/>
      </c>
      <c r="H27" s="8"/>
      <c r="I27" s="7">
        <f>IF($J27="",5,LEN($J27)-LEN(SUBSTITUTE($J27,",",""))+1)</f>
        <v>5</v>
      </c>
      <c r="J27" s="7"/>
      <c r="K27" s="7"/>
      <c r="L27" s="8"/>
    </row>
    <row r="28" spans="1:12" x14ac:dyDescent="0.25">
      <c r="A28" s="9">
        <v>46203</v>
      </c>
      <c r="B28" s="10" t="s">
        <v>12</v>
      </c>
      <c r="C28" s="10">
        <v>0</v>
      </c>
      <c r="D28" s="10" t="str">
        <f>IF(AND($J28="",$K28=""),"",SUMPRODUCT(--ISNUMBER(SEARCH(","&amp;Verpleegkundigen!$C$2:$C$100&amp;",",","&amp;LOWER(SUBSTITUTE(SUBSTITUTE($J28," ",""),CHAR(160),""))&amp;","))*(Verpleegkundigen!$C$2:$C$100&lt;&gt;LOWER(SUBSTITUTE(SUBSTITUTE($K28," ",""),CHAR(160),""))),Verpleegkundigen!$B$2:$B$100)+IF($K28&lt;&gt;"",1,0))</f>
        <v/>
      </c>
      <c r="E28" s="69">
        <f>IF(F28&gt;D28,1,IF(F28=D28,0,-1))</f>
        <v>0</v>
      </c>
      <c r="F28" s="72" t="str">
        <f>IF(AND($J28="",$K28=""),"",SUMPRODUCT(--ISNUMBER(SEARCH(","&amp;Verpleegkundigen!$C$2:$C$100&amp;",",","&amp;LOWER(SUBSTITUTE(SUBSTITUTE($J28," ",""),CHAR(160),""))&amp;","))*(Verpleegkundigen!$C$2:$C$100&lt;&gt;LOWER(SUBSTITUTE(SUBSTITUTE($K28," ",""),CHAR(160),""))),Verpleegkundigen!$B$2:$B$100)+IF($K28&lt;&gt;"",1,0))</f>
        <v/>
      </c>
      <c r="G28" s="10" t="str">
        <f>IF(AND(C28&lt;&gt;"",D28&lt;&gt;"",C28&gt;D28),"+" &amp; TEXT(C28-D28,"0"),"")</f>
        <v/>
      </c>
      <c r="H28" s="4"/>
      <c r="I28" s="7">
        <f>IF($J28="",5,LEN($J28)-LEN(SUBSTITUTE($J28,",",""))+1)</f>
        <v>5</v>
      </c>
      <c r="J28" s="10"/>
      <c r="K28" s="10"/>
      <c r="L28" s="4"/>
    </row>
  </sheetData>
  <conditionalFormatting sqref="C3:C28">
    <cfRule type="expression" dxfId="95" priority="19">
      <formula>AND(ISNUMBER($C3),ISNUMBER($D3),$C3&lt;0.8*$D3)</formula>
    </cfRule>
    <cfRule type="expression" dxfId="94" priority="20">
      <formula>AND(ISNUMBER($C3),ISNUMBER($D3),$C3&gt;=0.8*$D3,$C3&lt;$D3)</formula>
    </cfRule>
    <cfRule type="expression" dxfId="93" priority="21">
      <formula>AND(ISNUMBER($C3),ISNUMBER($D3),$C3&gt;=$D3)</formula>
    </cfRule>
  </conditionalFormatting>
  <conditionalFormatting sqref="I3:I28">
    <cfRule type="expression" dxfId="92" priority="16">
      <formula>$I3=2</formula>
    </cfRule>
    <cfRule type="expression" dxfId="91" priority="17">
      <formula>OR($I3=3,$I3=4)</formula>
    </cfRule>
    <cfRule type="expression" dxfId="90" priority="18">
      <formula>$I3&gt;=5</formula>
    </cfRule>
  </conditionalFormatting>
  <pageMargins left="0.75" right="0.75" top="1" bottom="1" header="0.5" footer="0.5"/>
  <ignoredErrors>
    <ignoredError sqref="E3:E7 E9:E13 E15:E19 E21:E25 E27:E28" formula="1"/>
  </ignoredErrors>
  <extLst>
    <ext xmlns:x14="http://schemas.microsoft.com/office/spreadsheetml/2009/9/main" uri="{78C0D931-6437-407d-A8EE-F0AAD7539E65}">
      <x14:conditionalFormattings>
        <x14:conditionalFormatting xmlns:xm="http://schemas.microsoft.com/office/excel/2006/main">
          <x14:cfRule type="iconSet" priority="7" id="{77C4D6E7-4FC4-49B4-8F16-0DBDFD79AFE7}">
            <x14:iconSet iconSet="3Triangles" showValue="0">
              <x14:cfvo type="percent">
                <xm:f>0</xm:f>
              </x14:cfvo>
              <x14:cfvo type="formula">
                <xm:f>0</xm:f>
              </x14:cfvo>
              <x14:cfvo type="formula">
                <xm:f>1</xm:f>
              </x14:cfvo>
            </x14:iconSet>
          </x14:cfRule>
          <xm:sqref>E3 E23:E25 E17:E21 E11:E15 E5:E9</xm:sqref>
        </x14:conditionalFormatting>
        <x14:conditionalFormatting xmlns:xm="http://schemas.microsoft.com/office/excel/2006/main">
          <x14:cfRule type="iconSet" priority="6" id="{158F9D9D-6675-4D70-97A8-204D06A8ABE0}">
            <x14:iconSet iconSet="3Triangles" showValue="0">
              <x14:cfvo type="percent">
                <xm:f>0</xm:f>
              </x14:cfvo>
              <x14:cfvo type="formula">
                <xm:f>0</xm:f>
              </x14:cfvo>
              <x14:cfvo type="formula">
                <xm:f>1</xm:f>
              </x14:cfvo>
            </x14:iconSet>
          </x14:cfRule>
          <xm:sqref>E26:E27</xm:sqref>
        </x14:conditionalFormatting>
        <x14:conditionalFormatting xmlns:xm="http://schemas.microsoft.com/office/excel/2006/main">
          <x14:cfRule type="iconSet" priority="5" id="{48019232-BC99-4738-B344-0EC97758F59E}">
            <x14:iconSet iconSet="3Triangles" showValue="0">
              <x14:cfvo type="percent">
                <xm:f>0</xm:f>
              </x14:cfvo>
              <x14:cfvo type="formula">
                <xm:f>0</xm:f>
              </x14:cfvo>
              <x14:cfvo type="formula">
                <xm:f>1</xm:f>
              </x14:cfvo>
            </x14:iconSet>
          </x14:cfRule>
          <xm:sqref>E28</xm:sqref>
        </x14:conditionalFormatting>
        <x14:conditionalFormatting xmlns:xm="http://schemas.microsoft.com/office/excel/2006/main">
          <x14:cfRule type="iconSet" priority="4" id="{B5FA03AF-01C7-4966-821B-A65155D03A01}">
            <x14:iconSet iconSet="3Triangles" showValue="0">
              <x14:cfvo type="percent">
                <xm:f>0</xm:f>
              </x14:cfvo>
              <x14:cfvo type="formula">
                <xm:f>0</xm:f>
              </x14:cfvo>
              <x14:cfvo type="formula">
                <xm:f>1</xm:f>
              </x14:cfvo>
            </x14:iconSet>
          </x14:cfRule>
          <xm:sqref>E22</xm:sqref>
        </x14:conditionalFormatting>
        <x14:conditionalFormatting xmlns:xm="http://schemas.microsoft.com/office/excel/2006/main">
          <x14:cfRule type="iconSet" priority="3" id="{91159971-3A16-4967-88D8-2F72B12E2345}">
            <x14:iconSet iconSet="3Triangles" showValue="0">
              <x14:cfvo type="percent">
                <xm:f>0</xm:f>
              </x14:cfvo>
              <x14:cfvo type="formula">
                <xm:f>0</xm:f>
              </x14:cfvo>
              <x14:cfvo type="formula">
                <xm:f>1</xm:f>
              </x14:cfvo>
            </x14:iconSet>
          </x14:cfRule>
          <xm:sqref>E16</xm:sqref>
        </x14:conditionalFormatting>
        <x14:conditionalFormatting xmlns:xm="http://schemas.microsoft.com/office/excel/2006/main">
          <x14:cfRule type="iconSet" priority="2" id="{AD7CE8A5-5484-48EF-8F31-91E06B9AF98E}">
            <x14:iconSet iconSet="3Triangles" showValue="0">
              <x14:cfvo type="percent">
                <xm:f>0</xm:f>
              </x14:cfvo>
              <x14:cfvo type="formula">
                <xm:f>0</xm:f>
              </x14:cfvo>
              <x14:cfvo type="formula">
                <xm:f>1</xm:f>
              </x14:cfvo>
            </x14:iconSet>
          </x14:cfRule>
          <xm:sqref>E10</xm:sqref>
        </x14:conditionalFormatting>
        <x14:conditionalFormatting xmlns:xm="http://schemas.microsoft.com/office/excel/2006/main">
          <x14:cfRule type="iconSet" priority="1" id="{88B5011C-2506-4C58-9E70-FA7361464B21}">
            <x14:iconSet iconSet="3Triangles" showValue="0">
              <x14:cfvo type="percent">
                <xm:f>0</xm:f>
              </x14:cfvo>
              <x14:cfvo type="formula">
                <xm:f>0</xm:f>
              </x14:cfvo>
              <x14:cfvo type="formula">
                <xm:f>1</xm:f>
              </x14:cfvo>
            </x14:iconSet>
          </x14:cfRule>
          <xm:sqref>E4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selection activeCell="E3" sqref="E3:E29"/>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4.42578125"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7109375" bestFit="1" customWidth="1"/>
  </cols>
  <sheetData>
    <row r="1" spans="1:12" x14ac:dyDescent="0.25">
      <c r="A1" s="1" t="s">
        <v>0</v>
      </c>
      <c r="B1" s="1" t="s">
        <v>1</v>
      </c>
      <c r="C1" s="1" t="s">
        <v>2</v>
      </c>
      <c r="D1" s="1" t="s">
        <v>145</v>
      </c>
      <c r="E1" s="1"/>
      <c r="F1" s="1" t="s">
        <v>146</v>
      </c>
      <c r="G1" s="1" t="s">
        <v>4</v>
      </c>
      <c r="H1" s="1" t="s">
        <v>5</v>
      </c>
      <c r="I1" s="1" t="s">
        <v>6</v>
      </c>
      <c r="J1" s="1" t="s">
        <v>7</v>
      </c>
      <c r="K1" s="1" t="s">
        <v>8</v>
      </c>
      <c r="L1" s="1" t="s">
        <v>148</v>
      </c>
    </row>
    <row r="2" spans="1:12" x14ac:dyDescent="0.25">
      <c r="A2" s="3" t="s">
        <v>88</v>
      </c>
      <c r="B2" s="4"/>
      <c r="C2" s="4"/>
      <c r="D2" s="4"/>
      <c r="E2" s="4"/>
      <c r="F2" s="10" t="str">
        <f>IF(AND($J2="",$K2=""),"",SUMPRODUCT(--ISNUMBER(SEARCH(","&amp;Verpleegkundigen!$C$2:$C$100&amp;",",","&amp;LOWER(SUBSTITUTE(SUBSTITUTE($J2," ",""),CHAR(160),""))&amp;","))*(Verpleegkundigen!$C$2:$C$100&lt;&gt;LOWER(SUBSTITUTE(SUBSTITUTE($K2," ",""),CHAR(160),""))),Verpleegkundigen!$B$2:$B$100)+IF($K2&lt;&gt;"",1,0))</f>
        <v/>
      </c>
      <c r="G2" s="4"/>
      <c r="H2" s="4"/>
      <c r="I2" s="5"/>
      <c r="J2" s="4"/>
      <c r="K2" s="4"/>
      <c r="L2" s="4"/>
    </row>
    <row r="3" spans="1:12" x14ac:dyDescent="0.25">
      <c r="A3" s="6">
        <v>46204</v>
      </c>
      <c r="B3" s="7" t="s">
        <v>14</v>
      </c>
      <c r="C3" s="7">
        <v>5</v>
      </c>
      <c r="D3" s="7" t="str">
        <f>IF(AND($J3="",$K3=""),"",SUMPRODUCT(--ISNUMBER(SEARCH(","&amp;Verpleegkundigen!$C$2:$C$100&amp;",",","&amp;LOWER(SUBSTITUTE(SUBSTITUTE($J3," ",""),CHAR(160),""))&amp;","))*(Verpleegkundigen!$C$2:$C$100&lt;&gt;LOWER(SUBSTITUTE(SUBSTITUTE($K3," ",""),CHAR(160),""))),Verpleegkundigen!$B$2:$B$100)+IF($K3&lt;&gt;"",1,0))</f>
        <v/>
      </c>
      <c r="E3" s="63">
        <f>IF(F3&gt;D3,1,IF(F3=D3,0,-1))</f>
        <v>0</v>
      </c>
      <c r="F3" s="90"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46205</v>
      </c>
      <c r="B4" s="10" t="s">
        <v>16</v>
      </c>
      <c r="C4" s="10">
        <v>5</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6">
        <v>46206</v>
      </c>
      <c r="B5" s="7" t="s">
        <v>18</v>
      </c>
      <c r="C5" s="7">
        <v>5</v>
      </c>
      <c r="D5" s="7" t="str">
        <f>IF(AND($J5="",$K5=""),"",SUMPRODUCT(--ISNUMBER(SEARCH(","&amp;Verpleegkundigen!$C$2:$C$100&amp;",",","&amp;LOWER(SUBSTITUTE(SUBSTITUTE($J5," ",""),CHAR(160),""))&amp;","))*(Verpleegkundigen!$C$2:$C$100&lt;&gt;LOWER(SUBSTITUTE(SUBSTITUTE($K5," ",""),CHAR(160),""))),Verpleegkundigen!$B$2:$B$100)+IF($K5&lt;&gt;"",1,0))</f>
        <v/>
      </c>
      <c r="E5" s="63">
        <f>IF(F5&gt;D5,1,IF(F5=D5,0,-1))</f>
        <v>0</v>
      </c>
      <c r="F5" s="90"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8"/>
    </row>
    <row r="6" spans="1:12" x14ac:dyDescent="0.25">
      <c r="A6" s="3" t="s">
        <v>89</v>
      </c>
      <c r="B6" s="4"/>
      <c r="C6" s="4"/>
      <c r="D6" s="4"/>
      <c r="E6" s="69"/>
      <c r="F6" s="72" t="str">
        <f>IF(AND($J6="",$K6=""),"",SUMPRODUCT(--ISNUMBER(SEARCH(","&amp;Verpleegkundigen!$C$2:$C$100&amp;",",","&amp;LOWER(SUBSTITUTE(SUBSTITUTE($J6," ",""),CHAR(160),""))&amp;","))*(Verpleegkundigen!$C$2:$C$100&lt;&gt;LOWER(SUBSTITUTE(SUBSTITUTE($K6," ",""),CHAR(160),""))),Verpleegkundigen!$B$2:$B$100)+IF($K6&lt;&gt;"",1,0))</f>
        <v/>
      </c>
      <c r="G6" s="4"/>
      <c r="H6" s="4"/>
      <c r="I6" s="5"/>
      <c r="J6" s="4"/>
      <c r="K6" s="4"/>
      <c r="L6" s="4"/>
    </row>
    <row r="7" spans="1:12" x14ac:dyDescent="0.25">
      <c r="A7" s="6">
        <v>46209</v>
      </c>
      <c r="B7" s="7" t="s">
        <v>10</v>
      </c>
      <c r="C7" s="7">
        <v>13</v>
      </c>
      <c r="D7" s="7" t="str">
        <f>IF(AND($J7="",$K7=""),"",SUMPRODUCT(--ISNUMBER(SEARCH(","&amp;Verpleegkundigen!$C$2:$C$100&amp;",",","&amp;LOWER(SUBSTITUTE(SUBSTITUTE($J7," ",""),CHAR(160),""))&amp;","))*(Verpleegkundigen!$C$2:$C$100&lt;&gt;LOWER(SUBSTITUTE(SUBSTITUTE($K7," ",""),CHAR(160),""))),Verpleegkundigen!$B$2:$B$100)+IF($K7&lt;&gt;"",1,0))</f>
        <v/>
      </c>
      <c r="E7" s="63">
        <f>IF(F7&gt;D7,1,IF(F7=D7,0,-1))</f>
        <v>0</v>
      </c>
      <c r="F7" s="90" t="str">
        <f>IF(AND($J7="",$K7=""),"",SUMPRODUCT(--ISNUMBER(SEARCH(","&amp;Verpleegkundigen!$C$2:$C$100&amp;",",","&amp;LOWER(SUBSTITUTE(SUBSTITUTE($J7," ",""),CHAR(160),""))&amp;","))*(Verpleegkundigen!$C$2:$C$100&lt;&gt;LOWER(SUBSTITUTE(SUBSTITUTE($K7," ",""),CHAR(160),""))),Verpleegkundigen!$B$2:$B$100)+IF($K7&lt;&gt;"",1,0))</f>
        <v/>
      </c>
      <c r="G7" s="7" t="str">
        <f>IF(AND(C7&lt;&gt;"",D7&lt;&gt;"",C7&gt;D7),"+" &amp; TEXT(C7-D7,"0"),"")</f>
        <v/>
      </c>
      <c r="H7" s="8"/>
      <c r="I7" s="7">
        <f>IF($J7="",5,LEN($J7)-LEN(SUBSTITUTE($J7,",",""))+1)</f>
        <v>5</v>
      </c>
      <c r="J7" s="7"/>
      <c r="K7" s="7"/>
      <c r="L7" s="8"/>
    </row>
    <row r="8" spans="1:12" x14ac:dyDescent="0.25">
      <c r="A8" s="9">
        <v>46210</v>
      </c>
      <c r="B8" s="10" t="s">
        <v>12</v>
      </c>
      <c r="C8" s="10">
        <v>7</v>
      </c>
      <c r="D8" s="10" t="str">
        <f>IF(AND($J8="",$K8=""),"",SUMPRODUCT(--ISNUMBER(SEARCH(","&amp;Verpleegkundigen!$C$2:$C$100&amp;",",","&amp;LOWER(SUBSTITUTE(SUBSTITUTE($J8," ",""),CHAR(160),""))&amp;","))*(Verpleegkundigen!$C$2:$C$100&lt;&gt;LOWER(SUBSTITUTE(SUBSTITUTE($K8," ",""),CHAR(160),""))),Verpleegkundigen!$B$2:$B$100)+IF($K8&lt;&gt;"",1,0))</f>
        <v/>
      </c>
      <c r="E8" s="69">
        <f>IF(F8&gt;D8,1,IF(F8=D8,0,-1))</f>
        <v>0</v>
      </c>
      <c r="F8" s="72" t="str">
        <f>IF(AND($J8="",$K8=""),"",SUMPRODUCT(--ISNUMBER(SEARCH(","&amp;Verpleegkundigen!$C$2:$C$100&amp;",",","&amp;LOWER(SUBSTITUTE(SUBSTITUTE($J8," ",""),CHAR(160),""))&amp;","))*(Verpleegkundigen!$C$2:$C$100&lt;&gt;LOWER(SUBSTITUTE(SUBSTITUTE($K8," ",""),CHAR(160),""))),Verpleegkundigen!$B$2:$B$100)+IF($K8&lt;&gt;"",1,0))</f>
        <v/>
      </c>
      <c r="G8" s="10" t="str">
        <f>IF(AND(C8&lt;&gt;"",D8&lt;&gt;"",C8&gt;D8),"+" &amp; TEXT(C8-D8,"0"),"")</f>
        <v/>
      </c>
      <c r="H8" s="4"/>
      <c r="I8" s="7">
        <f>IF($J8="",5,LEN($J8)-LEN(SUBSTITUTE($J8,",",""))+1)</f>
        <v>5</v>
      </c>
      <c r="J8" s="10"/>
      <c r="K8" s="10"/>
      <c r="L8" s="4"/>
    </row>
    <row r="9" spans="1:12" x14ac:dyDescent="0.25">
      <c r="A9" s="6">
        <v>46211</v>
      </c>
      <c r="B9" s="7" t="s">
        <v>14</v>
      </c>
      <c r="C9" s="7">
        <v>9</v>
      </c>
      <c r="D9" s="7" t="str">
        <f>IF(AND($J9="",$K9=""),"",SUMPRODUCT(--ISNUMBER(SEARCH(","&amp;Verpleegkundigen!$C$2:$C$100&amp;",",","&amp;LOWER(SUBSTITUTE(SUBSTITUTE($J9," ",""),CHAR(160),""))&amp;","))*(Verpleegkundigen!$C$2:$C$100&lt;&gt;LOWER(SUBSTITUTE(SUBSTITUTE($K9," ",""),CHAR(160),""))),Verpleegkundigen!$B$2:$B$100)+IF($K9&lt;&gt;"",1,0))</f>
        <v/>
      </c>
      <c r="E9" s="67">
        <f>IF(F9&gt;D9,1,IF(F9=D9,0,-1))</f>
        <v>0</v>
      </c>
      <c r="F9" s="90" t="str">
        <f>IF(AND($J9="",$K9=""),"",SUMPRODUCT(--ISNUMBER(SEARCH(","&amp;Verpleegkundigen!$C$2:$C$100&amp;",",","&amp;LOWER(SUBSTITUTE(SUBSTITUTE($J9," ",""),CHAR(160),""))&amp;","))*(Verpleegkundigen!$C$2:$C$100&lt;&gt;LOWER(SUBSTITUTE(SUBSTITUTE($K9," ",""),CHAR(160),""))),Verpleegkundigen!$B$2:$B$100)+IF($K9&lt;&gt;"",1,0))</f>
        <v/>
      </c>
      <c r="G9" s="7" t="str">
        <f>IF(AND(C9&lt;&gt;"",D9&lt;&gt;"",C9&gt;D9),"+" &amp; TEXT(C9-D9,"0"),"")</f>
        <v/>
      </c>
      <c r="H9" s="8"/>
      <c r="I9" s="7">
        <f>IF($J9="",5,LEN($J9)-LEN(SUBSTITUTE($J9,",",""))+1)</f>
        <v>5</v>
      </c>
      <c r="J9" s="7"/>
      <c r="K9" s="7"/>
      <c r="L9" s="8"/>
    </row>
    <row r="10" spans="1:12" x14ac:dyDescent="0.25">
      <c r="A10" s="9">
        <v>46212</v>
      </c>
      <c r="B10" s="10" t="s">
        <v>16</v>
      </c>
      <c r="C10" s="10">
        <v>5</v>
      </c>
      <c r="D10" s="10" t="str">
        <f>IF(AND($J10="",$K10=""),"",SUMPRODUCT(--ISNUMBER(SEARCH(","&amp;Verpleegkundigen!$C$2:$C$100&amp;",",","&amp;LOWER(SUBSTITUTE(SUBSTITUTE($J10," ",""),CHAR(160),""))&amp;","))*(Verpleegkundigen!$C$2:$C$100&lt;&gt;LOWER(SUBSTITUTE(SUBSTITUTE($K10," ",""),CHAR(160),""))),Verpleegkundigen!$B$2:$B$100)+IF($K10&lt;&gt;"",1,0))</f>
        <v/>
      </c>
      <c r="E10" s="69">
        <f>IF(F10&gt;D10,1,IF(F10=D10,0,-1))</f>
        <v>0</v>
      </c>
      <c r="F10" s="72" t="str">
        <f>IF(AND($J10="",$K10=""),"",SUMPRODUCT(--ISNUMBER(SEARCH(","&amp;Verpleegkundigen!$C$2:$C$100&amp;",",","&amp;LOWER(SUBSTITUTE(SUBSTITUTE($J10," ",""),CHAR(160),""))&amp;","))*(Verpleegkundigen!$C$2:$C$100&lt;&gt;LOWER(SUBSTITUTE(SUBSTITUTE($K10," ",""),CHAR(160),""))),Verpleegkundigen!$B$2:$B$100)+IF($K10&lt;&gt;"",1,0))</f>
        <v/>
      </c>
      <c r="G10" s="10" t="str">
        <f>IF(AND(C10&lt;&gt;"",D10&lt;&gt;"",C10&gt;D10),"+" &amp; TEXT(C10-D10,"0"),"")</f>
        <v/>
      </c>
      <c r="H10" s="4"/>
      <c r="I10" s="7">
        <f>IF($J10="",5,LEN($J10)-LEN(SUBSTITUTE($J10,",",""))+1)</f>
        <v>5</v>
      </c>
      <c r="J10" s="10"/>
      <c r="K10" s="10"/>
      <c r="L10" s="4"/>
    </row>
    <row r="11" spans="1:12" x14ac:dyDescent="0.25">
      <c r="A11" s="6">
        <v>46213</v>
      </c>
      <c r="B11" s="7" t="s">
        <v>18</v>
      </c>
      <c r="C11" s="7">
        <v>13</v>
      </c>
      <c r="D11" s="7" t="str">
        <f>IF(AND($J11="",$K11=""),"",SUMPRODUCT(--ISNUMBER(SEARCH(","&amp;Verpleegkundigen!$C$2:$C$100&amp;",",","&amp;LOWER(SUBSTITUTE(SUBSTITUTE($J11," ",""),CHAR(160),""))&amp;","))*(Verpleegkundigen!$C$2:$C$100&lt;&gt;LOWER(SUBSTITUTE(SUBSTITUTE($K11," ",""),CHAR(160),""))),Verpleegkundigen!$B$2:$B$100)+IF($K11&lt;&gt;"",1,0))</f>
        <v/>
      </c>
      <c r="E11" s="63">
        <f>IF(F11&gt;D11,1,IF(F11=D11,0,-1))</f>
        <v>0</v>
      </c>
      <c r="F11" s="90" t="str">
        <f>IF(AND($J11="",$K11=""),"",SUMPRODUCT(--ISNUMBER(SEARCH(","&amp;Verpleegkundigen!$C$2:$C$100&amp;",",","&amp;LOWER(SUBSTITUTE(SUBSTITUTE($J11," ",""),CHAR(160),""))&amp;","))*(Verpleegkundigen!$C$2:$C$100&lt;&gt;LOWER(SUBSTITUTE(SUBSTITUTE($K11," ",""),CHAR(160),""))),Verpleegkundigen!$B$2:$B$100)+IF($K11&lt;&gt;"",1,0))</f>
        <v/>
      </c>
      <c r="G11" s="7" t="str">
        <f>IF(AND(C11&lt;&gt;"",D11&lt;&gt;"",C11&gt;D11),"+" &amp; TEXT(C11-D11,"0"),"")</f>
        <v/>
      </c>
      <c r="H11" s="8"/>
      <c r="I11" s="7">
        <f>IF($J11="",5,LEN($J11)-LEN(SUBSTITUTE($J11,",",""))+1)</f>
        <v>5</v>
      </c>
      <c r="J11" s="7"/>
      <c r="K11" s="7"/>
      <c r="L11" s="8"/>
    </row>
    <row r="12" spans="1:12" x14ac:dyDescent="0.25">
      <c r="A12" s="3" t="s">
        <v>90</v>
      </c>
      <c r="B12" s="4"/>
      <c r="C12" s="4"/>
      <c r="D12" s="4"/>
      <c r="E12" s="69"/>
      <c r="F12" s="72" t="str">
        <f>IF(AND($J12="",$K12=""),"",SUMPRODUCT(--ISNUMBER(SEARCH(","&amp;Verpleegkundigen!$C$2:$C$100&amp;",",","&amp;LOWER(SUBSTITUTE(SUBSTITUTE($J12," ",""),CHAR(160),""))&amp;","))*(Verpleegkundigen!$C$2:$C$100&lt;&gt;LOWER(SUBSTITUTE(SUBSTITUTE($K12," ",""),CHAR(160),""))),Verpleegkundigen!$B$2:$B$100)+IF($K12&lt;&gt;"",1,0))</f>
        <v/>
      </c>
      <c r="G12" s="4"/>
      <c r="H12" s="4"/>
      <c r="I12" s="5"/>
      <c r="J12" s="4"/>
      <c r="K12" s="4"/>
      <c r="L12" s="4"/>
    </row>
    <row r="13" spans="1:12" x14ac:dyDescent="0.25">
      <c r="A13" s="6">
        <v>46216</v>
      </c>
      <c r="B13" s="7" t="s">
        <v>10</v>
      </c>
      <c r="C13" s="7">
        <v>6</v>
      </c>
      <c r="D13" s="7" t="str">
        <f>IF(AND($J13="",$K13=""),"",SUMPRODUCT(--ISNUMBER(SEARCH(","&amp;Verpleegkundigen!$C$2:$C$100&amp;",",","&amp;LOWER(SUBSTITUTE(SUBSTITUTE($J13," ",""),CHAR(160),""))&amp;","))*(Verpleegkundigen!$C$2:$C$100&lt;&gt;LOWER(SUBSTITUTE(SUBSTITUTE($K13," ",""),CHAR(160),""))),Verpleegkundigen!$B$2:$B$100)+IF($K13&lt;&gt;"",1,0))</f>
        <v/>
      </c>
      <c r="E13" s="63">
        <f>IF(F13&gt;D13,1,IF(F13=D13,0,-1))</f>
        <v>0</v>
      </c>
      <c r="F13" s="90" t="str">
        <f>IF(AND($J13="",$K13=""),"",SUMPRODUCT(--ISNUMBER(SEARCH(","&amp;Verpleegkundigen!$C$2:$C$100&amp;",",","&amp;LOWER(SUBSTITUTE(SUBSTITUTE($J13," ",""),CHAR(160),""))&amp;","))*(Verpleegkundigen!$C$2:$C$100&lt;&gt;LOWER(SUBSTITUTE(SUBSTITUTE($K13," ",""),CHAR(160),""))),Verpleegkundigen!$B$2:$B$100)+IF($K13&lt;&gt;"",1,0))</f>
        <v/>
      </c>
      <c r="G13" s="7" t="str">
        <f>IF(AND(C13&lt;&gt;"",D13&lt;&gt;"",C13&gt;D13),"+" &amp; TEXT(C13-D13,"0"),"")</f>
        <v/>
      </c>
      <c r="H13" s="8"/>
      <c r="I13" s="7">
        <f>IF($J13="",5,LEN($J13)-LEN(SUBSTITUTE($J13,",",""))+1)</f>
        <v>5</v>
      </c>
      <c r="J13" s="7"/>
      <c r="K13" s="7"/>
      <c r="L13" s="8"/>
    </row>
    <row r="14" spans="1:12" x14ac:dyDescent="0.25">
      <c r="A14" s="9">
        <v>46217</v>
      </c>
      <c r="B14" s="10" t="s">
        <v>12</v>
      </c>
      <c r="C14" s="10">
        <v>1</v>
      </c>
      <c r="D14" s="10" t="str">
        <f>IF(AND($J14="",$K14=""),"",SUMPRODUCT(--ISNUMBER(SEARCH(","&amp;Verpleegkundigen!$C$2:$C$100&amp;",",","&amp;LOWER(SUBSTITUTE(SUBSTITUTE($J14," ",""),CHAR(160),""))&amp;","))*(Verpleegkundigen!$C$2:$C$100&lt;&gt;LOWER(SUBSTITUTE(SUBSTITUTE($K14," ",""),CHAR(160),""))),Verpleegkundigen!$B$2:$B$100)+IF($K14&lt;&gt;"",1,0))</f>
        <v/>
      </c>
      <c r="E14" s="69">
        <f>IF(F14&gt;D14,1,IF(F14=D14,0,-1))</f>
        <v>0</v>
      </c>
      <c r="F14" s="72" t="str">
        <f>IF(AND($J14="",$K14=""),"",SUMPRODUCT(--ISNUMBER(SEARCH(","&amp;Verpleegkundigen!$C$2:$C$100&amp;",",","&amp;LOWER(SUBSTITUTE(SUBSTITUTE($J14," ",""),CHAR(160),""))&amp;","))*(Verpleegkundigen!$C$2:$C$100&lt;&gt;LOWER(SUBSTITUTE(SUBSTITUTE($K14," ",""),CHAR(160),""))),Verpleegkundigen!$B$2:$B$100)+IF($K14&lt;&gt;"",1,0))</f>
        <v/>
      </c>
      <c r="G14" s="10" t="str">
        <f>IF(AND(C14&lt;&gt;"",D14&lt;&gt;"",C14&gt;D14),"+" &amp; TEXT(C14-D14,"0"),"")</f>
        <v/>
      </c>
      <c r="H14" s="4"/>
      <c r="I14" s="7">
        <f>IF($J14="",5,LEN($J14)-LEN(SUBSTITUTE($J14,",",""))+1)</f>
        <v>5</v>
      </c>
      <c r="J14" s="10"/>
      <c r="K14" s="10"/>
      <c r="L14" s="4"/>
    </row>
    <row r="15" spans="1:12" x14ac:dyDescent="0.25">
      <c r="A15" s="6">
        <v>46218</v>
      </c>
      <c r="B15" s="7" t="s">
        <v>14</v>
      </c>
      <c r="C15" s="7">
        <v>1</v>
      </c>
      <c r="D15" s="7" t="str">
        <f>IF(AND($J15="",$K15=""),"",SUMPRODUCT(--ISNUMBER(SEARCH(","&amp;Verpleegkundigen!$C$2:$C$100&amp;",",","&amp;LOWER(SUBSTITUTE(SUBSTITUTE($J15," ",""),CHAR(160),""))&amp;","))*(Verpleegkundigen!$C$2:$C$100&lt;&gt;LOWER(SUBSTITUTE(SUBSTITUTE($K15," ",""),CHAR(160),""))),Verpleegkundigen!$B$2:$B$100)+IF($K15&lt;&gt;"",1,0))</f>
        <v/>
      </c>
      <c r="E15" s="67">
        <f>IF(F15&gt;D15,1,IF(F15=D15,0,-1))</f>
        <v>0</v>
      </c>
      <c r="F15" s="90" t="str">
        <f>IF(AND($J15="",$K15=""),"",SUMPRODUCT(--ISNUMBER(SEARCH(","&amp;Verpleegkundigen!$C$2:$C$100&amp;",",","&amp;LOWER(SUBSTITUTE(SUBSTITUTE($J15," ",""),CHAR(160),""))&amp;","))*(Verpleegkundigen!$C$2:$C$100&lt;&gt;LOWER(SUBSTITUTE(SUBSTITUTE($K15," ",""),CHAR(160),""))),Verpleegkundigen!$B$2:$B$100)+IF($K15&lt;&gt;"",1,0))</f>
        <v/>
      </c>
      <c r="G15" s="7" t="str">
        <f>IF(AND(C15&lt;&gt;"",D15&lt;&gt;"",C15&gt;D15),"+" &amp; TEXT(C15-D15,"0"),"")</f>
        <v/>
      </c>
      <c r="H15" s="8"/>
      <c r="I15" s="7">
        <f>IF($J15="",5,LEN($J15)-LEN(SUBSTITUTE($J15,",",""))+1)</f>
        <v>5</v>
      </c>
      <c r="J15" s="7"/>
      <c r="K15" s="7"/>
      <c r="L15" s="8"/>
    </row>
    <row r="16" spans="1:12" x14ac:dyDescent="0.25">
      <c r="A16" s="9">
        <v>46219</v>
      </c>
      <c r="B16" s="10" t="s">
        <v>16</v>
      </c>
      <c r="C16" s="10">
        <v>1</v>
      </c>
      <c r="D16" s="10" t="str">
        <f>IF(AND($J16="",$K16=""),"",SUMPRODUCT(--ISNUMBER(SEARCH(","&amp;Verpleegkundigen!$C$2:$C$100&amp;",",","&amp;LOWER(SUBSTITUTE(SUBSTITUTE($J16," ",""),CHAR(160),""))&amp;","))*(Verpleegkundigen!$C$2:$C$100&lt;&gt;LOWER(SUBSTITUTE(SUBSTITUTE($K16," ",""),CHAR(160),""))),Verpleegkundigen!$B$2:$B$100)+IF($K16&lt;&gt;"",1,0))</f>
        <v/>
      </c>
      <c r="E16" s="69">
        <f>IF(F16&gt;D16,1,IF(F16=D16,0,-1))</f>
        <v>0</v>
      </c>
      <c r="F16" s="72" t="str">
        <f>IF(AND($J16="",$K16=""),"",SUMPRODUCT(--ISNUMBER(SEARCH(","&amp;Verpleegkundigen!$C$2:$C$100&amp;",",","&amp;LOWER(SUBSTITUTE(SUBSTITUTE($J16," ",""),CHAR(160),""))&amp;","))*(Verpleegkundigen!$C$2:$C$100&lt;&gt;LOWER(SUBSTITUTE(SUBSTITUTE($K16," ",""),CHAR(160),""))),Verpleegkundigen!$B$2:$B$100)+IF($K16&lt;&gt;"",1,0))</f>
        <v/>
      </c>
      <c r="G16" s="10" t="str">
        <f>IF(AND(C16&lt;&gt;"",D16&lt;&gt;"",C16&gt;D16),"+" &amp; TEXT(C16-D16,"0"),"")</f>
        <v/>
      </c>
      <c r="H16" s="4"/>
      <c r="I16" s="7">
        <f>IF($J16="",5,LEN($J16)-LEN(SUBSTITUTE($J16,",",""))+1)</f>
        <v>5</v>
      </c>
      <c r="J16" s="10"/>
      <c r="K16" s="10"/>
      <c r="L16" s="4"/>
    </row>
    <row r="17" spans="1:12" x14ac:dyDescent="0.25">
      <c r="A17" s="6">
        <v>46220</v>
      </c>
      <c r="B17" s="7" t="s">
        <v>18</v>
      </c>
      <c r="C17" s="7">
        <v>1</v>
      </c>
      <c r="D17" s="7" t="str">
        <f>IF(AND($J17="",$K17=""),"",SUMPRODUCT(--ISNUMBER(SEARCH(","&amp;Verpleegkundigen!$C$2:$C$100&amp;",",","&amp;LOWER(SUBSTITUTE(SUBSTITUTE($J17," ",""),CHAR(160),""))&amp;","))*(Verpleegkundigen!$C$2:$C$100&lt;&gt;LOWER(SUBSTITUTE(SUBSTITUTE($K17," ",""),CHAR(160),""))),Verpleegkundigen!$B$2:$B$100)+IF($K17&lt;&gt;"",1,0))</f>
        <v/>
      </c>
      <c r="E17" s="63">
        <f>IF(F17&gt;D17,1,IF(F17=D17,0,-1))</f>
        <v>0</v>
      </c>
      <c r="F17" s="90" t="str">
        <f>IF(AND($J17="",$K17=""),"",SUMPRODUCT(--ISNUMBER(SEARCH(","&amp;Verpleegkundigen!$C$2:$C$100&amp;",",","&amp;LOWER(SUBSTITUTE(SUBSTITUTE($J17," ",""),CHAR(160),""))&amp;","))*(Verpleegkundigen!$C$2:$C$100&lt;&gt;LOWER(SUBSTITUTE(SUBSTITUTE($K17," ",""),CHAR(160),""))),Verpleegkundigen!$B$2:$B$100)+IF($K17&lt;&gt;"",1,0))</f>
        <v/>
      </c>
      <c r="G17" s="7" t="str">
        <f>IF(AND(C17&lt;&gt;"",D17&lt;&gt;"",C17&gt;D17),"+" &amp; TEXT(C17-D17,"0"),"")</f>
        <v/>
      </c>
      <c r="H17" s="8"/>
      <c r="I17" s="7">
        <f>IF($J17="",5,LEN($J17)-LEN(SUBSTITUTE($J17,",",""))+1)</f>
        <v>5</v>
      </c>
      <c r="J17" s="7"/>
      <c r="K17" s="7"/>
      <c r="L17" s="8"/>
    </row>
    <row r="18" spans="1:12" x14ac:dyDescent="0.25">
      <c r="A18" s="3" t="s">
        <v>91</v>
      </c>
      <c r="B18" s="4"/>
      <c r="C18" s="4"/>
      <c r="D18" s="4"/>
      <c r="E18" s="69"/>
      <c r="F18" s="72" t="str">
        <f>IF(AND($J18="",$K18=""),"",SUMPRODUCT(--ISNUMBER(SEARCH(","&amp;Verpleegkundigen!$C$2:$C$100&amp;",",","&amp;LOWER(SUBSTITUTE(SUBSTITUTE($J18," ",""),CHAR(160),""))&amp;","))*(Verpleegkundigen!$C$2:$C$100&lt;&gt;LOWER(SUBSTITUTE(SUBSTITUTE($K18," ",""),CHAR(160),""))),Verpleegkundigen!$B$2:$B$100)+IF($K18&lt;&gt;"",1,0))</f>
        <v/>
      </c>
      <c r="G18" s="4"/>
      <c r="H18" s="4"/>
      <c r="I18" s="5"/>
      <c r="J18" s="4"/>
      <c r="K18" s="4"/>
      <c r="L18" s="4"/>
    </row>
    <row r="19" spans="1:12" x14ac:dyDescent="0.25">
      <c r="A19" s="6">
        <v>46223</v>
      </c>
      <c r="B19" s="7" t="s">
        <v>10</v>
      </c>
      <c r="C19" s="7">
        <v>0</v>
      </c>
      <c r="D19" s="7" t="str">
        <f>IF(AND($J19="",$K19=""),"",SUMPRODUCT(--ISNUMBER(SEARCH(","&amp;Verpleegkundigen!$C$2:$C$100&amp;",",","&amp;LOWER(SUBSTITUTE(SUBSTITUTE($J19," ",""),CHAR(160),""))&amp;","))*(Verpleegkundigen!$C$2:$C$100&lt;&gt;LOWER(SUBSTITUTE(SUBSTITUTE($K19," ",""),CHAR(160),""))),Verpleegkundigen!$B$2:$B$100)+IF($K19&lt;&gt;"",1,0))</f>
        <v/>
      </c>
      <c r="E19" s="67">
        <f>IF(F19&gt;D19,1,IF(F19=D19,0,-1))</f>
        <v>0</v>
      </c>
      <c r="F19" s="90" t="str">
        <f>IF(AND($J19="",$K19=""),"",SUMPRODUCT(--ISNUMBER(SEARCH(","&amp;Verpleegkundigen!$C$2:$C$100&amp;",",","&amp;LOWER(SUBSTITUTE(SUBSTITUTE($J19," ",""),CHAR(160),""))&amp;","))*(Verpleegkundigen!$C$2:$C$100&lt;&gt;LOWER(SUBSTITUTE(SUBSTITUTE($K19," ",""),CHAR(160),""))),Verpleegkundigen!$B$2:$B$100)+IF($K19&lt;&gt;"",1,0))</f>
        <v/>
      </c>
      <c r="G19" s="7" t="str">
        <f>IF(AND(C19&lt;&gt;"",D19&lt;&gt;"",C19&gt;D19),"+" &amp; TEXT(C19-D19,"0"),"")</f>
        <v/>
      </c>
      <c r="H19" s="8"/>
      <c r="I19" s="7">
        <f>IF($J19="",5,LEN($J19)-LEN(SUBSTITUTE($J19,",",""))+1)</f>
        <v>5</v>
      </c>
      <c r="J19" s="7"/>
      <c r="K19" s="7"/>
      <c r="L19" s="8"/>
    </row>
    <row r="20" spans="1:12" x14ac:dyDescent="0.25">
      <c r="A20" s="9">
        <v>46224</v>
      </c>
      <c r="B20" s="10" t="s">
        <v>12</v>
      </c>
      <c r="C20" s="10">
        <v>0</v>
      </c>
      <c r="D20" s="10" t="str">
        <f>IF(AND($J20="",$K20=""),"",SUMPRODUCT(--ISNUMBER(SEARCH(","&amp;Verpleegkundigen!$C$2:$C$100&amp;",",","&amp;LOWER(SUBSTITUTE(SUBSTITUTE($J20," ",""),CHAR(160),""))&amp;","))*(Verpleegkundigen!$C$2:$C$100&lt;&gt;LOWER(SUBSTITUTE(SUBSTITUTE($K20," ",""),CHAR(160),""))),Verpleegkundigen!$B$2:$B$100)+IF($K20&lt;&gt;"",1,0))</f>
        <v/>
      </c>
      <c r="E20" s="69">
        <f>IF(F20&gt;D20,1,IF(F20=D20,0,-1))</f>
        <v>0</v>
      </c>
      <c r="F20" s="72" t="str">
        <f>IF(AND($J20="",$K20=""),"",SUMPRODUCT(--ISNUMBER(SEARCH(","&amp;Verpleegkundigen!$C$2:$C$100&amp;",",","&amp;LOWER(SUBSTITUTE(SUBSTITUTE($J20," ",""),CHAR(160),""))&amp;","))*(Verpleegkundigen!$C$2:$C$100&lt;&gt;LOWER(SUBSTITUTE(SUBSTITUTE($K20," ",""),CHAR(160),""))),Verpleegkundigen!$B$2:$B$100)+IF($K20&lt;&gt;"",1,0))</f>
        <v/>
      </c>
      <c r="G20" s="10" t="str">
        <f>IF(AND(C20&lt;&gt;"",D20&lt;&gt;"",C20&gt;D20),"+" &amp; TEXT(C20-D20,"0"),"")</f>
        <v/>
      </c>
      <c r="H20" s="4"/>
      <c r="I20" s="7">
        <f>IF($J20="",5,LEN($J20)-LEN(SUBSTITUTE($J20,",",""))+1)</f>
        <v>5</v>
      </c>
      <c r="J20" s="10"/>
      <c r="K20" s="10"/>
      <c r="L20" s="4"/>
    </row>
    <row r="21" spans="1:12" x14ac:dyDescent="0.25">
      <c r="A21" s="6">
        <v>46225</v>
      </c>
      <c r="B21" s="7" t="s">
        <v>14</v>
      </c>
      <c r="C21" s="7">
        <v>1</v>
      </c>
      <c r="D21" s="7" t="str">
        <f>IF(AND($J21="",$K21=""),"",SUMPRODUCT(--ISNUMBER(SEARCH(","&amp;Verpleegkundigen!$C$2:$C$100&amp;",",","&amp;LOWER(SUBSTITUTE(SUBSTITUTE($J21," ",""),CHAR(160),""))&amp;","))*(Verpleegkundigen!$C$2:$C$100&lt;&gt;LOWER(SUBSTITUTE(SUBSTITUTE($K21," ",""),CHAR(160),""))),Verpleegkundigen!$B$2:$B$100)+IF($K21&lt;&gt;"",1,0))</f>
        <v/>
      </c>
      <c r="E21" s="63">
        <f>IF(F21&gt;D21,1,IF(F21=D21,0,-1))</f>
        <v>0</v>
      </c>
      <c r="F21" s="90" t="str">
        <f>IF(AND($J21="",$K21=""),"",SUMPRODUCT(--ISNUMBER(SEARCH(","&amp;Verpleegkundigen!$C$2:$C$100&amp;",",","&amp;LOWER(SUBSTITUTE(SUBSTITUTE($J21," ",""),CHAR(160),""))&amp;","))*(Verpleegkundigen!$C$2:$C$100&lt;&gt;LOWER(SUBSTITUTE(SUBSTITUTE($K21," ",""),CHAR(160),""))),Verpleegkundigen!$B$2:$B$100)+IF($K21&lt;&gt;"",1,0))</f>
        <v/>
      </c>
      <c r="G21" s="7" t="str">
        <f>IF(AND(C21&lt;&gt;"",D21&lt;&gt;"",C21&gt;D21),"+" &amp; TEXT(C21-D21,"0"),"")</f>
        <v/>
      </c>
      <c r="H21" s="8"/>
      <c r="I21" s="7">
        <f>IF($J21="",5,LEN($J21)-LEN(SUBSTITUTE($J21,",",""))+1)</f>
        <v>5</v>
      </c>
      <c r="J21" s="7"/>
      <c r="K21" s="7"/>
      <c r="L21" s="8"/>
    </row>
    <row r="22" spans="1:12" x14ac:dyDescent="0.25">
      <c r="A22" s="9">
        <v>46226</v>
      </c>
      <c r="B22" s="10" t="s">
        <v>16</v>
      </c>
      <c r="C22" s="10">
        <v>0</v>
      </c>
      <c r="D22" s="10" t="str">
        <f>IF(AND($J22="",$K22=""),"",SUMPRODUCT(--ISNUMBER(SEARCH(","&amp;Verpleegkundigen!$C$2:$C$100&amp;",",","&amp;LOWER(SUBSTITUTE(SUBSTITUTE($J22," ",""),CHAR(160),""))&amp;","))*(Verpleegkundigen!$C$2:$C$100&lt;&gt;LOWER(SUBSTITUTE(SUBSTITUTE($K22," ",""),CHAR(160),""))),Verpleegkundigen!$B$2:$B$100)+IF($K22&lt;&gt;"",1,0))</f>
        <v/>
      </c>
      <c r="E22" s="69">
        <f>IF(F22&gt;D22,1,IF(F22=D22,0,-1))</f>
        <v>0</v>
      </c>
      <c r="F22" s="72" t="str">
        <f>IF(AND($J22="",$K22=""),"",SUMPRODUCT(--ISNUMBER(SEARCH(","&amp;Verpleegkundigen!$C$2:$C$100&amp;",",","&amp;LOWER(SUBSTITUTE(SUBSTITUTE($J22," ",""),CHAR(160),""))&amp;","))*(Verpleegkundigen!$C$2:$C$100&lt;&gt;LOWER(SUBSTITUTE(SUBSTITUTE($K22," ",""),CHAR(160),""))),Verpleegkundigen!$B$2:$B$100)+IF($K22&lt;&gt;"",1,0))</f>
        <v/>
      </c>
      <c r="G22" s="10" t="str">
        <f>IF(AND(C22&lt;&gt;"",D22&lt;&gt;"",C22&gt;D22),"+" &amp; TEXT(C22-D22,"0"),"")</f>
        <v/>
      </c>
      <c r="H22" s="4"/>
      <c r="I22" s="7">
        <f>IF($J22="",5,LEN($J22)-LEN(SUBSTITUTE($J22,",",""))+1)</f>
        <v>5</v>
      </c>
      <c r="J22" s="10"/>
      <c r="K22" s="10"/>
      <c r="L22" s="4"/>
    </row>
    <row r="23" spans="1:12" x14ac:dyDescent="0.25">
      <c r="A23" s="6">
        <v>46227</v>
      </c>
      <c r="B23" s="7" t="s">
        <v>18</v>
      </c>
      <c r="C23" s="7">
        <v>0</v>
      </c>
      <c r="D23" s="7" t="str">
        <f>IF(AND($J23="",$K23=""),"",SUMPRODUCT(--ISNUMBER(SEARCH(","&amp;Verpleegkundigen!$C$2:$C$100&amp;",",","&amp;LOWER(SUBSTITUTE(SUBSTITUTE($J23," ",""),CHAR(160),""))&amp;","))*(Verpleegkundigen!$C$2:$C$100&lt;&gt;LOWER(SUBSTITUTE(SUBSTITUTE($K23," ",""),CHAR(160),""))),Verpleegkundigen!$B$2:$B$100)+IF($K23&lt;&gt;"",1,0))</f>
        <v/>
      </c>
      <c r="E23" s="63">
        <f>IF(F23&gt;D23,1,IF(F23=D23,0,-1))</f>
        <v>0</v>
      </c>
      <c r="F23" s="90" t="str">
        <f>IF(AND($J23="",$K23=""),"",SUMPRODUCT(--ISNUMBER(SEARCH(","&amp;Verpleegkundigen!$C$2:$C$100&amp;",",","&amp;LOWER(SUBSTITUTE(SUBSTITUTE($J23," ",""),CHAR(160),""))&amp;","))*(Verpleegkundigen!$C$2:$C$100&lt;&gt;LOWER(SUBSTITUTE(SUBSTITUTE($K23," ",""),CHAR(160),""))),Verpleegkundigen!$B$2:$B$100)+IF($K23&lt;&gt;"",1,0))</f>
        <v/>
      </c>
      <c r="G23" s="7" t="str">
        <f>IF(AND(C23&lt;&gt;"",D23&lt;&gt;"",C23&gt;D23),"+" &amp; TEXT(C23-D23,"0"),"")</f>
        <v/>
      </c>
      <c r="H23" s="8"/>
      <c r="I23" s="7">
        <f>IF($J23="",5,LEN($J23)-LEN(SUBSTITUTE($J23,",",""))+1)</f>
        <v>5</v>
      </c>
      <c r="J23" s="7"/>
      <c r="K23" s="7"/>
      <c r="L23" s="8"/>
    </row>
    <row r="24" spans="1:12" x14ac:dyDescent="0.25">
      <c r="A24" s="3" t="s">
        <v>92</v>
      </c>
      <c r="B24" s="4"/>
      <c r="C24" s="4"/>
      <c r="D24" s="4"/>
      <c r="E24" s="69"/>
      <c r="F24" s="72" t="str">
        <f>IF(AND($J24="",$K24=""),"",SUMPRODUCT(--ISNUMBER(SEARCH(","&amp;Verpleegkundigen!$C$2:$C$100&amp;",",","&amp;LOWER(SUBSTITUTE(SUBSTITUTE($J24," ",""),CHAR(160),""))&amp;","))*(Verpleegkundigen!$C$2:$C$100&lt;&gt;LOWER(SUBSTITUTE(SUBSTITUTE($K24," ",""),CHAR(160),""))),Verpleegkundigen!$B$2:$B$100)+IF($K24&lt;&gt;"",1,0))</f>
        <v/>
      </c>
      <c r="G24" s="4"/>
      <c r="H24" s="4"/>
      <c r="I24" s="5"/>
      <c r="J24" s="4"/>
      <c r="K24" s="4"/>
      <c r="L24" s="4"/>
    </row>
    <row r="25" spans="1:12" x14ac:dyDescent="0.25">
      <c r="A25" s="6">
        <v>46230</v>
      </c>
      <c r="B25" s="7" t="s">
        <v>10</v>
      </c>
      <c r="C25" s="7">
        <v>0</v>
      </c>
      <c r="D25" s="7" t="str">
        <f>IF(AND($J25="",$K25=""),"",SUMPRODUCT(--ISNUMBER(SEARCH(","&amp;Verpleegkundigen!$C$2:$C$100&amp;",",","&amp;LOWER(SUBSTITUTE(SUBSTITUTE($J25," ",""),CHAR(160),""))&amp;","))*(Verpleegkundigen!$C$2:$C$100&lt;&gt;LOWER(SUBSTITUTE(SUBSTITUTE($K25," ",""),CHAR(160),""))),Verpleegkundigen!$B$2:$B$100)+IF($K25&lt;&gt;"",1,0))</f>
        <v/>
      </c>
      <c r="E25" s="63">
        <f>IF(F25&gt;D25,1,IF(F25=D25,0,-1))</f>
        <v>0</v>
      </c>
      <c r="F25" s="90" t="str">
        <f>IF(AND($J25="",$K25=""),"",SUMPRODUCT(--ISNUMBER(SEARCH(","&amp;Verpleegkundigen!$C$2:$C$100&amp;",",","&amp;LOWER(SUBSTITUTE(SUBSTITUTE($J25," ",""),CHAR(160),""))&amp;","))*(Verpleegkundigen!$C$2:$C$100&lt;&gt;LOWER(SUBSTITUTE(SUBSTITUTE($K25," ",""),CHAR(160),""))),Verpleegkundigen!$B$2:$B$100)+IF($K25&lt;&gt;"",1,0))</f>
        <v/>
      </c>
      <c r="G25" s="7" t="str">
        <f>IF(AND(C25&lt;&gt;"",D25&lt;&gt;"",C25&gt;D25),"+" &amp; TEXT(C25-D25,"0"),"")</f>
        <v/>
      </c>
      <c r="H25" s="8"/>
      <c r="I25" s="7">
        <f>IF($J25="",5,LEN($J25)-LEN(SUBSTITUTE($J25,",",""))+1)</f>
        <v>5</v>
      </c>
      <c r="J25" s="7"/>
      <c r="K25" s="7"/>
      <c r="L25" s="8"/>
    </row>
    <row r="26" spans="1:12" x14ac:dyDescent="0.25">
      <c r="A26" s="9">
        <v>46231</v>
      </c>
      <c r="B26" s="10" t="s">
        <v>12</v>
      </c>
      <c r="C26" s="10">
        <v>0</v>
      </c>
      <c r="D26" s="10" t="str">
        <f>IF(AND($J26="",$K26=""),"",SUMPRODUCT(--ISNUMBER(SEARCH(","&amp;Verpleegkundigen!$C$2:$C$100&amp;",",","&amp;LOWER(SUBSTITUTE(SUBSTITUTE($J26," ",""),CHAR(160),""))&amp;","))*(Verpleegkundigen!$C$2:$C$100&lt;&gt;LOWER(SUBSTITUTE(SUBSTITUTE($K26," ",""),CHAR(160),""))),Verpleegkundigen!$B$2:$B$100)+IF($K26&lt;&gt;"",1,0))</f>
        <v/>
      </c>
      <c r="E26" s="69">
        <f>IF(F26&gt;D26,1,IF(F26=D26,0,-1))</f>
        <v>0</v>
      </c>
      <c r="F26" s="72" t="str">
        <f>IF(AND($J26="",$K26=""),"",SUMPRODUCT(--ISNUMBER(SEARCH(","&amp;Verpleegkundigen!$C$2:$C$100&amp;",",","&amp;LOWER(SUBSTITUTE(SUBSTITUTE($J26," ",""),CHAR(160),""))&amp;","))*(Verpleegkundigen!$C$2:$C$100&lt;&gt;LOWER(SUBSTITUTE(SUBSTITUTE($K26," ",""),CHAR(160),""))),Verpleegkundigen!$B$2:$B$100)+IF($K26&lt;&gt;"",1,0))</f>
        <v/>
      </c>
      <c r="G26" s="10" t="str">
        <f>IF(AND(C26&lt;&gt;"",D26&lt;&gt;"",C26&gt;D26),"+" &amp; TEXT(C26-D26,"0"),"")</f>
        <v/>
      </c>
      <c r="H26" s="4"/>
      <c r="I26" s="7">
        <f>IF($J26="",5,LEN($J26)-LEN(SUBSTITUTE($J26,",",""))+1)</f>
        <v>5</v>
      </c>
      <c r="J26" s="10"/>
      <c r="K26" s="10"/>
      <c r="L26" s="4"/>
    </row>
    <row r="27" spans="1:12" x14ac:dyDescent="0.25">
      <c r="A27" s="6">
        <v>46232</v>
      </c>
      <c r="B27" s="7" t="s">
        <v>14</v>
      </c>
      <c r="C27" s="7">
        <v>0</v>
      </c>
      <c r="D27" s="7" t="str">
        <f>IF(AND($J27="",$K27=""),"",SUMPRODUCT(--ISNUMBER(SEARCH(","&amp;Verpleegkundigen!$C$2:$C$100&amp;",",","&amp;LOWER(SUBSTITUTE(SUBSTITUTE($J27," ",""),CHAR(160),""))&amp;","))*(Verpleegkundigen!$C$2:$C$100&lt;&gt;LOWER(SUBSTITUTE(SUBSTITUTE($K27," ",""),CHAR(160),""))),Verpleegkundigen!$B$2:$B$100)+IF($K27&lt;&gt;"",1,0))</f>
        <v/>
      </c>
      <c r="E27" s="63">
        <f>IF(F27&gt;D27,1,IF(F27=D27,0,-1))</f>
        <v>0</v>
      </c>
      <c r="F27" s="90" t="str">
        <f>IF(AND($J27="",$K27=""),"",SUMPRODUCT(--ISNUMBER(SEARCH(","&amp;Verpleegkundigen!$C$2:$C$100&amp;",",","&amp;LOWER(SUBSTITUTE(SUBSTITUTE($J27," ",""),CHAR(160),""))&amp;","))*(Verpleegkundigen!$C$2:$C$100&lt;&gt;LOWER(SUBSTITUTE(SUBSTITUTE($K27," ",""),CHAR(160),""))),Verpleegkundigen!$B$2:$B$100)+IF($K27&lt;&gt;"",1,0))</f>
        <v/>
      </c>
      <c r="G27" s="7" t="str">
        <f>IF(AND(C27&lt;&gt;"",D27&lt;&gt;"",C27&gt;D27),"+" &amp; TEXT(C27-D27,"0"),"")</f>
        <v/>
      </c>
      <c r="H27" s="8"/>
      <c r="I27" s="7">
        <f>IF($J27="",5,LEN($J27)-LEN(SUBSTITUTE($J27,",",""))+1)</f>
        <v>5</v>
      </c>
      <c r="J27" s="7"/>
      <c r="K27" s="7"/>
      <c r="L27" s="8"/>
    </row>
    <row r="28" spans="1:12" x14ac:dyDescent="0.25">
      <c r="A28" s="9">
        <v>46233</v>
      </c>
      <c r="B28" s="10" t="s">
        <v>16</v>
      </c>
      <c r="C28" s="10">
        <v>0</v>
      </c>
      <c r="D28" s="10" t="str">
        <f>IF(AND($J28="",$K28=""),"",SUMPRODUCT(--ISNUMBER(SEARCH(","&amp;Verpleegkundigen!$C$2:$C$100&amp;",",","&amp;LOWER(SUBSTITUTE(SUBSTITUTE($J28," ",""),CHAR(160),""))&amp;","))*(Verpleegkundigen!$C$2:$C$100&lt;&gt;LOWER(SUBSTITUTE(SUBSTITUTE($K28," ",""),CHAR(160),""))),Verpleegkundigen!$B$2:$B$100)+IF($K28&lt;&gt;"",1,0))</f>
        <v/>
      </c>
      <c r="E28" s="69">
        <f>IF(F28&gt;D28,1,IF(F28=D28,0,-1))</f>
        <v>0</v>
      </c>
      <c r="F28" s="72" t="str">
        <f>IF(AND($J28="",$K28=""),"",SUMPRODUCT(--ISNUMBER(SEARCH(","&amp;Verpleegkundigen!$C$2:$C$100&amp;",",","&amp;LOWER(SUBSTITUTE(SUBSTITUTE($J28," ",""),CHAR(160),""))&amp;","))*(Verpleegkundigen!$C$2:$C$100&lt;&gt;LOWER(SUBSTITUTE(SUBSTITUTE($K28," ",""),CHAR(160),""))),Verpleegkundigen!$B$2:$B$100)+IF($K28&lt;&gt;"",1,0))</f>
        <v/>
      </c>
      <c r="G28" s="10" t="str">
        <f>IF(AND(C28&lt;&gt;"",D28&lt;&gt;"",C28&gt;D28),"+" &amp; TEXT(C28-D28,"0"),"")</f>
        <v/>
      </c>
      <c r="H28" s="4"/>
      <c r="I28" s="7">
        <f>IF($J28="",5,LEN($J28)-LEN(SUBSTITUTE($J28,",",""))+1)</f>
        <v>5</v>
      </c>
      <c r="J28" s="10"/>
      <c r="K28" s="10"/>
      <c r="L28" s="4"/>
    </row>
    <row r="29" spans="1:12" x14ac:dyDescent="0.25">
      <c r="A29" s="6">
        <v>46234</v>
      </c>
      <c r="B29" s="7" t="s">
        <v>18</v>
      </c>
      <c r="C29" s="7">
        <v>0</v>
      </c>
      <c r="D29" s="7" t="str">
        <f>IF(AND($J29="",$K29=""),"",SUMPRODUCT(--ISNUMBER(SEARCH(","&amp;Verpleegkundigen!$C$2:$C$100&amp;",",","&amp;LOWER(SUBSTITUTE(SUBSTITUTE($J29," ",""),CHAR(160),""))&amp;","))*(Verpleegkundigen!$C$2:$C$100&lt;&gt;LOWER(SUBSTITUTE(SUBSTITUTE($K29," ",""),CHAR(160),""))),Verpleegkundigen!$B$2:$B$100)+IF($K29&lt;&gt;"",1,0))</f>
        <v/>
      </c>
      <c r="E29" s="63">
        <f>IF(F29&gt;D29,1,IF(F29=D29,0,-1))</f>
        <v>0</v>
      </c>
      <c r="F29" s="90" t="str">
        <f>IF(AND($J29="",$K29=""),"",SUMPRODUCT(--ISNUMBER(SEARCH(","&amp;Verpleegkundigen!$C$2:$C$100&amp;",",","&amp;LOWER(SUBSTITUTE(SUBSTITUTE($J29," ",""),CHAR(160),""))&amp;","))*(Verpleegkundigen!$C$2:$C$100&lt;&gt;LOWER(SUBSTITUTE(SUBSTITUTE($K29," ",""),CHAR(160),""))),Verpleegkundigen!$B$2:$B$100)+IF($K29&lt;&gt;"",1,0))</f>
        <v/>
      </c>
      <c r="G29" s="7" t="str">
        <f>IF(AND(C29&lt;&gt;"",D29&lt;&gt;"",C29&gt;D29),"+" &amp; TEXT(C29-D29,"0"),"")</f>
        <v/>
      </c>
      <c r="H29" s="8"/>
      <c r="I29" s="7">
        <f>IF($J29="",5,LEN($J29)-LEN(SUBSTITUTE($J29,",",""))+1)</f>
        <v>5</v>
      </c>
      <c r="J29" s="7"/>
      <c r="K29" s="7"/>
      <c r="L29" s="8"/>
    </row>
  </sheetData>
  <conditionalFormatting sqref="C3:C26 C29">
    <cfRule type="expression" dxfId="89" priority="34">
      <formula>AND(ISNUMBER($C3),ISNUMBER($D3),$C3&lt;0.8*$D3)</formula>
    </cfRule>
    <cfRule type="expression" dxfId="88" priority="35">
      <formula>AND(ISNUMBER($C3),ISNUMBER($D3),$C3&gt;=0.8*$D3,$C3&lt;$D3)</formula>
    </cfRule>
    <cfRule type="expression" dxfId="87" priority="36">
      <formula>AND(ISNUMBER($C3),ISNUMBER($D3),$C3&gt;=$D3)</formula>
    </cfRule>
  </conditionalFormatting>
  <conditionalFormatting sqref="I3:I26 I29">
    <cfRule type="expression" dxfId="86" priority="31">
      <formula>$I3=2</formula>
    </cfRule>
    <cfRule type="expression" dxfId="85" priority="32">
      <formula>OR($I3=3,$I3=4)</formula>
    </cfRule>
    <cfRule type="expression" dxfId="84" priority="33">
      <formula>$I3&gt;=5</formula>
    </cfRule>
  </conditionalFormatting>
  <conditionalFormatting sqref="C27:C28">
    <cfRule type="expression" dxfId="83" priority="22">
      <formula>AND(ISNUMBER($C27),ISNUMBER($D27),$C27&lt;0.8*$D27)</formula>
    </cfRule>
    <cfRule type="expression" dxfId="82" priority="23">
      <formula>AND(ISNUMBER($C27),ISNUMBER($D27),$C27&gt;=0.8*$D27,$C27&lt;$D27)</formula>
    </cfRule>
    <cfRule type="expression" dxfId="81" priority="24">
      <formula>AND(ISNUMBER($C27),ISNUMBER($D27),$C27&gt;=$D27)</formula>
    </cfRule>
  </conditionalFormatting>
  <conditionalFormatting sqref="I27:I28">
    <cfRule type="expression" dxfId="80" priority="19">
      <formula>$I27=2</formula>
    </cfRule>
    <cfRule type="expression" dxfId="79" priority="20">
      <formula>OR($I27=3,$I27=4)</formula>
    </cfRule>
    <cfRule type="expression" dxfId="78" priority="21">
      <formula>$I27&gt;=5</formula>
    </cfRule>
  </conditionalFormatting>
  <pageMargins left="0.75" right="0.75" top="1" bottom="1" header="0.5" footer="0.5"/>
  <ignoredErrors>
    <ignoredError sqref="E3:E29" formula="1"/>
  </ignoredErrors>
  <extLst>
    <ext xmlns:x14="http://schemas.microsoft.com/office/spreadsheetml/2009/9/main" uri="{78C0D931-6437-407d-A8EE-F0AAD7539E65}">
      <x14:conditionalFormattings>
        <x14:conditionalFormatting xmlns:xm="http://schemas.microsoft.com/office/excel/2006/main">
          <x14:cfRule type="iconSet" priority="12" id="{8A3401E5-D63D-4D5A-973C-4609D62C8262}">
            <x14:iconSet iconSet="3Triangles" showValue="0">
              <x14:cfvo type="percent">
                <xm:f>0</xm:f>
              </x14:cfvo>
              <x14:cfvo type="formula">
                <xm:f>0</xm:f>
              </x14:cfvo>
              <x14:cfvo type="formula">
                <xm:f>1</xm:f>
              </x14:cfvo>
            </x14:iconSet>
          </x14:cfRule>
          <xm:sqref>E3 E23:E25 E17:E19 E11:E13 E5:E7 E21 E15 E9</xm:sqref>
        </x14:conditionalFormatting>
        <x14:conditionalFormatting xmlns:xm="http://schemas.microsoft.com/office/excel/2006/main">
          <x14:cfRule type="iconSet" priority="11" id="{5723D386-6EDF-4DFE-A12D-3874E3D85001}">
            <x14:iconSet iconSet="3Triangles" showValue="0">
              <x14:cfvo type="percent">
                <xm:f>0</xm:f>
              </x14:cfvo>
              <x14:cfvo type="formula">
                <xm:f>0</xm:f>
              </x14:cfvo>
              <x14:cfvo type="formula">
                <xm:f>1</xm:f>
              </x14:cfvo>
            </x14:iconSet>
          </x14:cfRule>
          <xm:sqref>E27</xm:sqref>
        </x14:conditionalFormatting>
        <x14:conditionalFormatting xmlns:xm="http://schemas.microsoft.com/office/excel/2006/main">
          <x14:cfRule type="iconSet" priority="10" id="{6FBD1CC2-0052-4E14-86D6-8BA3B591F75B}">
            <x14:iconSet iconSet="3Triangles" showValue="0">
              <x14:cfvo type="percent">
                <xm:f>0</xm:f>
              </x14:cfvo>
              <x14:cfvo type="formula">
                <xm:f>0</xm:f>
              </x14:cfvo>
              <x14:cfvo type="formula">
                <xm:f>1</xm:f>
              </x14:cfvo>
            </x14:iconSet>
          </x14:cfRule>
          <xm:sqref>E28</xm:sqref>
        </x14:conditionalFormatting>
        <x14:conditionalFormatting xmlns:xm="http://schemas.microsoft.com/office/excel/2006/main">
          <x14:cfRule type="iconSet" priority="9" id="{EC4365D5-8547-4D3E-81C3-2CE2274E4212}">
            <x14:iconSet iconSet="3Triangles" showValue="0">
              <x14:cfvo type="percent">
                <xm:f>0</xm:f>
              </x14:cfvo>
              <x14:cfvo type="formula">
                <xm:f>0</xm:f>
              </x14:cfvo>
              <x14:cfvo type="formula">
                <xm:f>1</xm:f>
              </x14:cfvo>
            </x14:iconSet>
          </x14:cfRule>
          <xm:sqref>E22</xm:sqref>
        </x14:conditionalFormatting>
        <x14:conditionalFormatting xmlns:xm="http://schemas.microsoft.com/office/excel/2006/main">
          <x14:cfRule type="iconSet" priority="8" id="{67420425-0834-4802-8417-C8B5A02B9E0B}">
            <x14:iconSet iconSet="3Triangles" showValue="0">
              <x14:cfvo type="percent">
                <xm:f>0</xm:f>
              </x14:cfvo>
              <x14:cfvo type="formula">
                <xm:f>0</xm:f>
              </x14:cfvo>
              <x14:cfvo type="formula">
                <xm:f>1</xm:f>
              </x14:cfvo>
            </x14:iconSet>
          </x14:cfRule>
          <xm:sqref>E16</xm:sqref>
        </x14:conditionalFormatting>
        <x14:conditionalFormatting xmlns:xm="http://schemas.microsoft.com/office/excel/2006/main">
          <x14:cfRule type="iconSet" priority="7" id="{EE8B5DCB-FABD-4685-9346-50E732BFB728}">
            <x14:iconSet iconSet="3Triangles" showValue="0">
              <x14:cfvo type="percent">
                <xm:f>0</xm:f>
              </x14:cfvo>
              <x14:cfvo type="formula">
                <xm:f>0</xm:f>
              </x14:cfvo>
              <x14:cfvo type="formula">
                <xm:f>1</xm:f>
              </x14:cfvo>
            </x14:iconSet>
          </x14:cfRule>
          <xm:sqref>E10</xm:sqref>
        </x14:conditionalFormatting>
        <x14:conditionalFormatting xmlns:xm="http://schemas.microsoft.com/office/excel/2006/main">
          <x14:cfRule type="iconSet" priority="6" id="{4CEDAD08-E115-44C9-856D-758F62AF0E1C}">
            <x14:iconSet iconSet="3Triangles" showValue="0">
              <x14:cfvo type="percent">
                <xm:f>0</xm:f>
              </x14:cfvo>
              <x14:cfvo type="formula">
                <xm:f>0</xm:f>
              </x14:cfvo>
              <x14:cfvo type="formula">
                <xm:f>1</xm:f>
              </x14:cfvo>
            </x14:iconSet>
          </x14:cfRule>
          <xm:sqref>E4</xm:sqref>
        </x14:conditionalFormatting>
        <x14:conditionalFormatting xmlns:xm="http://schemas.microsoft.com/office/excel/2006/main">
          <x14:cfRule type="iconSet" priority="5" id="{F1391CB1-3BD7-4FDE-AB6E-055F86D8ADEB}">
            <x14:iconSet iconSet="3Triangles" showValue="0">
              <x14:cfvo type="percent">
                <xm:f>0</xm:f>
              </x14:cfvo>
              <x14:cfvo type="formula">
                <xm:f>0</xm:f>
              </x14:cfvo>
              <x14:cfvo type="formula">
                <xm:f>1</xm:f>
              </x14:cfvo>
            </x14:iconSet>
          </x14:cfRule>
          <xm:sqref>E29</xm:sqref>
        </x14:conditionalFormatting>
        <x14:conditionalFormatting xmlns:xm="http://schemas.microsoft.com/office/excel/2006/main">
          <x14:cfRule type="iconSet" priority="4" id="{CAF97BC1-C5E2-4507-8AF4-1CB5C84BA310}">
            <x14:iconSet iconSet="3Triangles" showValue="0">
              <x14:cfvo type="percent">
                <xm:f>0</xm:f>
              </x14:cfvo>
              <x14:cfvo type="formula">
                <xm:f>0</xm:f>
              </x14:cfvo>
              <x14:cfvo type="formula">
                <xm:f>1</xm:f>
              </x14:cfvo>
            </x14:iconSet>
          </x14:cfRule>
          <xm:sqref>E26</xm:sqref>
        </x14:conditionalFormatting>
        <x14:conditionalFormatting xmlns:xm="http://schemas.microsoft.com/office/excel/2006/main">
          <x14:cfRule type="iconSet" priority="3" id="{F1D1E172-2B58-452D-8976-748D6D19A97A}">
            <x14:iconSet iconSet="3Triangles" showValue="0">
              <x14:cfvo type="percent">
                <xm:f>0</xm:f>
              </x14:cfvo>
              <x14:cfvo type="formula">
                <xm:f>0</xm:f>
              </x14:cfvo>
              <x14:cfvo type="formula">
                <xm:f>1</xm:f>
              </x14:cfvo>
            </x14:iconSet>
          </x14:cfRule>
          <xm:sqref>E20</xm:sqref>
        </x14:conditionalFormatting>
        <x14:conditionalFormatting xmlns:xm="http://schemas.microsoft.com/office/excel/2006/main">
          <x14:cfRule type="iconSet" priority="2" id="{48B199E0-41EC-4FD9-A52F-0F175AAF04EB}">
            <x14:iconSet iconSet="3Triangles" showValue="0">
              <x14:cfvo type="percent">
                <xm:f>0</xm:f>
              </x14:cfvo>
              <x14:cfvo type="formula">
                <xm:f>0</xm:f>
              </x14:cfvo>
              <x14:cfvo type="formula">
                <xm:f>1</xm:f>
              </x14:cfvo>
            </x14:iconSet>
          </x14:cfRule>
          <xm:sqref>E14</xm:sqref>
        </x14:conditionalFormatting>
        <x14:conditionalFormatting xmlns:xm="http://schemas.microsoft.com/office/excel/2006/main">
          <x14:cfRule type="iconSet" priority="1" id="{5ACFFC00-E5F0-47B5-A2E7-79F7B35ED41A}">
            <x14:iconSet iconSet="3Triangles" showValue="0">
              <x14:cfvo type="percent">
                <xm:f>0</xm:f>
              </x14:cfvo>
              <x14:cfvo type="formula">
                <xm:f>0</xm:f>
              </x14:cfvo>
              <x14:cfvo type="formula">
                <xm:f>1</xm:f>
              </x14:cfvo>
            </x14:iconSet>
          </x14:cfRule>
          <xm:sqref>E8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selection activeCell="E3" sqref="E3:E27"/>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4"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7109375" bestFit="1" customWidth="1"/>
  </cols>
  <sheetData>
    <row r="1" spans="1:12" x14ac:dyDescent="0.25">
      <c r="A1" s="1" t="s">
        <v>0</v>
      </c>
      <c r="B1" s="1" t="s">
        <v>1</v>
      </c>
      <c r="C1" s="1" t="s">
        <v>2</v>
      </c>
      <c r="D1" s="1" t="s">
        <v>145</v>
      </c>
      <c r="E1" s="1"/>
      <c r="F1" s="1" t="s">
        <v>146</v>
      </c>
      <c r="G1" s="1" t="s">
        <v>4</v>
      </c>
      <c r="H1" s="1" t="s">
        <v>5</v>
      </c>
      <c r="I1" s="1" t="s">
        <v>6</v>
      </c>
      <c r="J1" s="1" t="s">
        <v>7</v>
      </c>
      <c r="K1" s="1" t="s">
        <v>8</v>
      </c>
      <c r="L1" s="1" t="s">
        <v>148</v>
      </c>
    </row>
    <row r="2" spans="1:12" x14ac:dyDescent="0.25">
      <c r="A2" s="3" t="s">
        <v>93</v>
      </c>
      <c r="B2" s="4"/>
      <c r="C2" s="4"/>
      <c r="D2" s="4"/>
      <c r="E2" s="4"/>
      <c r="F2" s="10" t="str">
        <f>IF(AND($J2="",$K2=""),"",SUMPRODUCT(--ISNUMBER(SEARCH(","&amp;Verpleegkundigen!$C$2:$C$100&amp;",",","&amp;LOWER(SUBSTITUTE(SUBSTITUTE($J2," ",""),CHAR(160),""))&amp;","))*(Verpleegkundigen!$C$2:$C$100&lt;&gt;LOWER(SUBSTITUTE(SUBSTITUTE($K2," ",""),CHAR(160),""))),Verpleegkundigen!$B$2:$B$100)+IF($K2&lt;&gt;"",1,0))</f>
        <v/>
      </c>
      <c r="G2" s="4"/>
      <c r="H2" s="4"/>
      <c r="I2" s="5"/>
      <c r="J2" s="4"/>
      <c r="K2" s="4"/>
      <c r="L2" s="4"/>
    </row>
    <row r="3" spans="1:12" x14ac:dyDescent="0.25">
      <c r="A3" s="6">
        <v>46237</v>
      </c>
      <c r="B3" s="7" t="s">
        <v>10</v>
      </c>
      <c r="C3" s="7">
        <v>5</v>
      </c>
      <c r="D3" s="7" t="str">
        <f>IF(AND($J3="",$K3=""),"",SUMPRODUCT(--ISNUMBER(SEARCH(","&amp;Verpleegkundigen!$C$2:$C$100&amp;",",","&amp;LOWER(SUBSTITUTE(SUBSTITUTE($J3," ",""),CHAR(160),""))&amp;","))*(Verpleegkundigen!$C$2:$C$100&lt;&gt;LOWER(SUBSTITUTE(SUBSTITUTE($K3," ",""),CHAR(160),""))),Verpleegkundigen!$B$2:$B$100)+IF($K3&lt;&gt;"",1,0))</f>
        <v/>
      </c>
      <c r="E3" s="63">
        <f>IF(F3&gt;D3,1,IF(F3=D3,0,-1))</f>
        <v>0</v>
      </c>
      <c r="F3" s="90"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46238</v>
      </c>
      <c r="B4" s="10" t="s">
        <v>12</v>
      </c>
      <c r="C4" s="10">
        <v>5</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6">
        <v>46239</v>
      </c>
      <c r="B5" s="7" t="s">
        <v>14</v>
      </c>
      <c r="C5" s="7">
        <v>5</v>
      </c>
      <c r="D5" s="7" t="str">
        <f>IF(AND($J5="",$K5=""),"",SUMPRODUCT(--ISNUMBER(SEARCH(","&amp;Verpleegkundigen!$C$2:$C$100&amp;",",","&amp;LOWER(SUBSTITUTE(SUBSTITUTE($J5," ",""),CHAR(160),""))&amp;","))*(Verpleegkundigen!$C$2:$C$100&lt;&gt;LOWER(SUBSTITUTE(SUBSTITUTE($K5," ",""),CHAR(160),""))),Verpleegkundigen!$B$2:$B$100)+IF($K5&lt;&gt;"",1,0))</f>
        <v/>
      </c>
      <c r="E5" s="63">
        <f>IF(F5&gt;D5,1,IF(F5=D5,0,-1))</f>
        <v>0</v>
      </c>
      <c r="F5" s="90"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8"/>
    </row>
    <row r="6" spans="1:12" x14ac:dyDescent="0.25">
      <c r="A6" s="9">
        <v>46240</v>
      </c>
      <c r="B6" s="10" t="s">
        <v>16</v>
      </c>
      <c r="C6" s="10">
        <v>7</v>
      </c>
      <c r="D6" s="10" t="str">
        <f>IF(AND($J6="",$K6=""),"",SUMPRODUCT(--ISNUMBER(SEARCH(","&amp;Verpleegkundigen!$C$2:$C$100&amp;",",","&amp;LOWER(SUBSTITUTE(SUBSTITUTE($J6," ",""),CHAR(160),""))&amp;","))*(Verpleegkundigen!$C$2:$C$100&lt;&gt;LOWER(SUBSTITUTE(SUBSTITUTE($K6," ",""),CHAR(160),""))),Verpleegkundigen!$B$2:$B$100)+IF($K6&lt;&gt;"",1,0))</f>
        <v/>
      </c>
      <c r="E6" s="69">
        <f>IF(F6&gt;D6,1,IF(F6=D6,0,-1))</f>
        <v>0</v>
      </c>
      <c r="F6" s="72" t="str">
        <f>IF(AND($J6="",$K6=""),"",SUMPRODUCT(--ISNUMBER(SEARCH(","&amp;Verpleegkundigen!$C$2:$C$100&amp;",",","&amp;LOWER(SUBSTITUTE(SUBSTITUTE($J6," ",""),CHAR(160),""))&amp;","))*(Verpleegkundigen!$C$2:$C$100&lt;&gt;LOWER(SUBSTITUTE(SUBSTITUTE($K6," ",""),CHAR(160),""))),Verpleegkundigen!$B$2:$B$100)+IF($K6&lt;&gt;"",1,0))</f>
        <v/>
      </c>
      <c r="G6" s="10" t="str">
        <f>IF(AND(C6&lt;&gt;"",D6&lt;&gt;"",C6&gt;D6),"+" &amp; TEXT(C6-D6,"0"),"")</f>
        <v/>
      </c>
      <c r="H6" s="4"/>
      <c r="I6" s="7">
        <f>IF($J6="",5,LEN($J6)-LEN(SUBSTITUTE($J6,",",""))+1)</f>
        <v>5</v>
      </c>
      <c r="J6" s="10"/>
      <c r="K6" s="10"/>
      <c r="L6" s="4"/>
    </row>
    <row r="7" spans="1:12" x14ac:dyDescent="0.25">
      <c r="A7" s="6">
        <v>46241</v>
      </c>
      <c r="B7" s="7" t="s">
        <v>18</v>
      </c>
      <c r="C7" s="7">
        <v>5</v>
      </c>
      <c r="D7" s="7" t="str">
        <f>IF(AND($J7="",$K7=""),"",SUMPRODUCT(--ISNUMBER(SEARCH(","&amp;Verpleegkundigen!$C$2:$C$100&amp;",",","&amp;LOWER(SUBSTITUTE(SUBSTITUTE($J7," ",""),CHAR(160),""))&amp;","))*(Verpleegkundigen!$C$2:$C$100&lt;&gt;LOWER(SUBSTITUTE(SUBSTITUTE($K7," ",""),CHAR(160),""))),Verpleegkundigen!$B$2:$B$100)+IF($K7&lt;&gt;"",1,0))</f>
        <v/>
      </c>
      <c r="E7" s="63">
        <f>IF(F7&gt;D7,1,IF(F7=D7,0,-1))</f>
        <v>0</v>
      </c>
      <c r="F7" s="90" t="str">
        <f>IF(AND($J7="",$K7=""),"",SUMPRODUCT(--ISNUMBER(SEARCH(","&amp;Verpleegkundigen!$C$2:$C$100&amp;",",","&amp;LOWER(SUBSTITUTE(SUBSTITUTE($J7," ",""),CHAR(160),""))&amp;","))*(Verpleegkundigen!$C$2:$C$100&lt;&gt;LOWER(SUBSTITUTE(SUBSTITUTE($K7," ",""),CHAR(160),""))),Verpleegkundigen!$B$2:$B$100)+IF($K7&lt;&gt;"",1,0))</f>
        <v/>
      </c>
      <c r="G7" s="7" t="str">
        <f>IF(AND(C7&lt;&gt;"",D7&lt;&gt;"",C7&gt;D7),"+" &amp; TEXT(C7-D7,"0"),"")</f>
        <v/>
      </c>
      <c r="H7" s="8"/>
      <c r="I7" s="7">
        <f>IF($J7="",5,LEN($J7)-LEN(SUBSTITUTE($J7,",",""))+1)</f>
        <v>5</v>
      </c>
      <c r="J7" s="7"/>
      <c r="K7" s="7"/>
      <c r="L7" s="8"/>
    </row>
    <row r="8" spans="1:12" x14ac:dyDescent="0.25">
      <c r="A8" s="3" t="s">
        <v>94</v>
      </c>
      <c r="B8" s="4"/>
      <c r="C8" s="4"/>
      <c r="D8" s="4"/>
      <c r="E8" s="69"/>
      <c r="F8" s="72" t="str">
        <f>IF(AND($J8="",$K8=""),"",SUMPRODUCT(--ISNUMBER(SEARCH(","&amp;Verpleegkundigen!$C$2:$C$100&amp;",",","&amp;LOWER(SUBSTITUTE(SUBSTITUTE($J8," ",""),CHAR(160),""))&amp;","))*(Verpleegkundigen!$C$2:$C$100&lt;&gt;LOWER(SUBSTITUTE(SUBSTITUTE($K8," ",""),CHAR(160),""))),Verpleegkundigen!$B$2:$B$100)+IF($K8&lt;&gt;"",1,0))</f>
        <v/>
      </c>
      <c r="G8" s="4"/>
      <c r="H8" s="4"/>
      <c r="I8" s="5"/>
      <c r="J8" s="4"/>
      <c r="K8" s="4"/>
      <c r="L8" s="4"/>
    </row>
    <row r="9" spans="1:12" x14ac:dyDescent="0.25">
      <c r="A9" s="6">
        <v>46244</v>
      </c>
      <c r="B9" s="7" t="s">
        <v>10</v>
      </c>
      <c r="C9" s="7">
        <v>13</v>
      </c>
      <c r="D9" s="7" t="str">
        <f>IF(AND($J9="",$K9=""),"",SUMPRODUCT(--ISNUMBER(SEARCH(","&amp;Verpleegkundigen!$C$2:$C$100&amp;",",","&amp;LOWER(SUBSTITUTE(SUBSTITUTE($J9," ",""),CHAR(160),""))&amp;","))*(Verpleegkundigen!$C$2:$C$100&lt;&gt;LOWER(SUBSTITUTE(SUBSTITUTE($K9," ",""),CHAR(160),""))),Verpleegkundigen!$B$2:$B$100)+IF($K9&lt;&gt;"",1,0))</f>
        <v/>
      </c>
      <c r="E9" s="67">
        <f>IF(F9&gt;D9,1,IF(F9=D9,0,-1))</f>
        <v>0</v>
      </c>
      <c r="F9" s="90" t="str">
        <f>IF(AND($J9="",$K9=""),"",SUMPRODUCT(--ISNUMBER(SEARCH(","&amp;Verpleegkundigen!$C$2:$C$100&amp;",",","&amp;LOWER(SUBSTITUTE(SUBSTITUTE($J9," ",""),CHAR(160),""))&amp;","))*(Verpleegkundigen!$C$2:$C$100&lt;&gt;LOWER(SUBSTITUTE(SUBSTITUTE($K9," ",""),CHAR(160),""))),Verpleegkundigen!$B$2:$B$100)+IF($K9&lt;&gt;"",1,0))</f>
        <v/>
      </c>
      <c r="G9" s="7" t="str">
        <f>IF(AND(C9&lt;&gt;"",D9&lt;&gt;"",C9&gt;D9),"+" &amp; TEXT(C9-D9,"0"),"")</f>
        <v/>
      </c>
      <c r="H9" s="8"/>
      <c r="I9" s="7">
        <f>IF($J9="",5,LEN($J9)-LEN(SUBSTITUTE($J9,",",""))+1)</f>
        <v>5</v>
      </c>
      <c r="J9" s="7"/>
      <c r="K9" s="7"/>
      <c r="L9" s="8"/>
    </row>
    <row r="10" spans="1:12" x14ac:dyDescent="0.25">
      <c r="A10" s="9">
        <v>46245</v>
      </c>
      <c r="B10" s="10" t="s">
        <v>12</v>
      </c>
      <c r="C10" s="10">
        <v>7</v>
      </c>
      <c r="D10" s="10" t="str">
        <f>IF(AND($J10="",$K10=""),"",SUMPRODUCT(--ISNUMBER(SEARCH(","&amp;Verpleegkundigen!$C$2:$C$100&amp;",",","&amp;LOWER(SUBSTITUTE(SUBSTITUTE($J10," ",""),CHAR(160),""))&amp;","))*(Verpleegkundigen!$C$2:$C$100&lt;&gt;LOWER(SUBSTITUTE(SUBSTITUTE($K10," ",""),CHAR(160),""))),Verpleegkundigen!$B$2:$B$100)+IF($K10&lt;&gt;"",1,0))</f>
        <v/>
      </c>
      <c r="E10" s="69">
        <f>IF(F10&gt;D10,1,IF(F10=D10,0,-1))</f>
        <v>0</v>
      </c>
      <c r="F10" s="72" t="str">
        <f>IF(AND($J10="",$K10=""),"",SUMPRODUCT(--ISNUMBER(SEARCH(","&amp;Verpleegkundigen!$C$2:$C$100&amp;",",","&amp;LOWER(SUBSTITUTE(SUBSTITUTE($J10," ",""),CHAR(160),""))&amp;","))*(Verpleegkundigen!$C$2:$C$100&lt;&gt;LOWER(SUBSTITUTE(SUBSTITUTE($K10," ",""),CHAR(160),""))),Verpleegkundigen!$B$2:$B$100)+IF($K10&lt;&gt;"",1,0))</f>
        <v/>
      </c>
      <c r="G10" s="10" t="str">
        <f>IF(AND(C10&lt;&gt;"",D10&lt;&gt;"",C10&gt;D10),"+" &amp; TEXT(C10-D10,"0"),"")</f>
        <v/>
      </c>
      <c r="H10" s="4"/>
      <c r="I10" s="7">
        <f>IF($J10="",5,LEN($J10)-LEN(SUBSTITUTE($J10,",",""))+1)</f>
        <v>5</v>
      </c>
      <c r="J10" s="10"/>
      <c r="K10" s="10"/>
      <c r="L10" s="4"/>
    </row>
    <row r="11" spans="1:12" x14ac:dyDescent="0.25">
      <c r="A11" s="6">
        <v>46246</v>
      </c>
      <c r="B11" s="7" t="s">
        <v>14</v>
      </c>
      <c r="C11" s="7">
        <v>9</v>
      </c>
      <c r="D11" s="7" t="str">
        <f>IF(AND($J11="",$K11=""),"",SUMPRODUCT(--ISNUMBER(SEARCH(","&amp;Verpleegkundigen!$C$2:$C$100&amp;",",","&amp;LOWER(SUBSTITUTE(SUBSTITUTE($J11," ",""),CHAR(160),""))&amp;","))*(Verpleegkundigen!$C$2:$C$100&lt;&gt;LOWER(SUBSTITUTE(SUBSTITUTE($K11," ",""),CHAR(160),""))),Verpleegkundigen!$B$2:$B$100)+IF($K11&lt;&gt;"",1,0))</f>
        <v/>
      </c>
      <c r="E11" s="63">
        <f>IF(F11&gt;D11,1,IF(F11=D11,0,-1))</f>
        <v>0</v>
      </c>
      <c r="F11" s="90" t="str">
        <f>IF(AND($J11="",$K11=""),"",SUMPRODUCT(--ISNUMBER(SEARCH(","&amp;Verpleegkundigen!$C$2:$C$100&amp;",",","&amp;LOWER(SUBSTITUTE(SUBSTITUTE($J11," ",""),CHAR(160),""))&amp;","))*(Verpleegkundigen!$C$2:$C$100&lt;&gt;LOWER(SUBSTITUTE(SUBSTITUTE($K11," ",""),CHAR(160),""))),Verpleegkundigen!$B$2:$B$100)+IF($K11&lt;&gt;"",1,0))</f>
        <v/>
      </c>
      <c r="G11" s="7" t="str">
        <f>IF(AND(C11&lt;&gt;"",D11&lt;&gt;"",C11&gt;D11),"+" &amp; TEXT(C11-D11,"0"),"")</f>
        <v/>
      </c>
      <c r="H11" s="8"/>
      <c r="I11" s="7">
        <f>IF($J11="",5,LEN($J11)-LEN(SUBSTITUTE($J11,",",""))+1)</f>
        <v>5</v>
      </c>
      <c r="J11" s="7"/>
      <c r="K11" s="7"/>
      <c r="L11" s="8"/>
    </row>
    <row r="12" spans="1:12" x14ac:dyDescent="0.25">
      <c r="A12" s="9">
        <v>46247</v>
      </c>
      <c r="B12" s="10" t="s">
        <v>16</v>
      </c>
      <c r="C12" s="10">
        <v>5</v>
      </c>
      <c r="D12" s="10" t="str">
        <f>IF(AND($J12="",$K12=""),"",SUMPRODUCT(--ISNUMBER(SEARCH(","&amp;Verpleegkundigen!$C$2:$C$100&amp;",",","&amp;LOWER(SUBSTITUTE(SUBSTITUTE($J12," ",""),CHAR(160),""))&amp;","))*(Verpleegkundigen!$C$2:$C$100&lt;&gt;LOWER(SUBSTITUTE(SUBSTITUTE($K12," ",""),CHAR(160),""))),Verpleegkundigen!$B$2:$B$100)+IF($K12&lt;&gt;"",1,0))</f>
        <v/>
      </c>
      <c r="E12" s="69">
        <f>IF(F12&gt;D12,1,IF(F12=D12,0,-1))</f>
        <v>0</v>
      </c>
      <c r="F12" s="72" t="str">
        <f>IF(AND($J12="",$K12=""),"",SUMPRODUCT(--ISNUMBER(SEARCH(","&amp;Verpleegkundigen!$C$2:$C$100&amp;",",","&amp;LOWER(SUBSTITUTE(SUBSTITUTE($J12," ",""),CHAR(160),""))&amp;","))*(Verpleegkundigen!$C$2:$C$100&lt;&gt;LOWER(SUBSTITUTE(SUBSTITUTE($K12," ",""),CHAR(160),""))),Verpleegkundigen!$B$2:$B$100)+IF($K12&lt;&gt;"",1,0))</f>
        <v/>
      </c>
      <c r="G12" s="10" t="str">
        <f>IF(AND(C12&lt;&gt;"",D12&lt;&gt;"",C12&gt;D12),"+" &amp; TEXT(C12-D12,"0"),"")</f>
        <v/>
      </c>
      <c r="H12" s="4"/>
      <c r="I12" s="7">
        <f>IF($J12="",5,LEN($J12)-LEN(SUBSTITUTE($J12,",",""))+1)</f>
        <v>5</v>
      </c>
      <c r="J12" s="10"/>
      <c r="K12" s="10"/>
      <c r="L12" s="4"/>
    </row>
    <row r="13" spans="1:12" x14ac:dyDescent="0.25">
      <c r="A13" s="6">
        <v>46248</v>
      </c>
      <c r="B13" s="7" t="s">
        <v>18</v>
      </c>
      <c r="C13" s="7">
        <v>13</v>
      </c>
      <c r="D13" s="7" t="str">
        <f>IF(AND($J13="",$K13=""),"",SUMPRODUCT(--ISNUMBER(SEARCH(","&amp;Verpleegkundigen!$C$2:$C$100&amp;",",","&amp;LOWER(SUBSTITUTE(SUBSTITUTE($J13," ",""),CHAR(160),""))&amp;","))*(Verpleegkundigen!$C$2:$C$100&lt;&gt;LOWER(SUBSTITUTE(SUBSTITUTE($K13," ",""),CHAR(160),""))),Verpleegkundigen!$B$2:$B$100)+IF($K13&lt;&gt;"",1,0))</f>
        <v/>
      </c>
      <c r="E13" s="63">
        <f>IF(F13&gt;D13,1,IF(F13=D13,0,-1))</f>
        <v>0</v>
      </c>
      <c r="F13" s="90" t="str">
        <f>IF(AND($J13="",$K13=""),"",SUMPRODUCT(--ISNUMBER(SEARCH(","&amp;Verpleegkundigen!$C$2:$C$100&amp;",",","&amp;LOWER(SUBSTITUTE(SUBSTITUTE($J13," ",""),CHAR(160),""))&amp;","))*(Verpleegkundigen!$C$2:$C$100&lt;&gt;LOWER(SUBSTITUTE(SUBSTITUTE($K13," ",""),CHAR(160),""))),Verpleegkundigen!$B$2:$B$100)+IF($K13&lt;&gt;"",1,0))</f>
        <v/>
      </c>
      <c r="G13" s="7" t="str">
        <f>IF(AND(C13&lt;&gt;"",D13&lt;&gt;"",C13&gt;D13),"+" &amp; TEXT(C13-D13,"0"),"")</f>
        <v/>
      </c>
      <c r="H13" s="8"/>
      <c r="I13" s="7">
        <f>IF($J13="",5,LEN($J13)-LEN(SUBSTITUTE($J13,",",""))+1)</f>
        <v>5</v>
      </c>
      <c r="J13" s="7"/>
      <c r="K13" s="7"/>
      <c r="L13" s="8"/>
    </row>
    <row r="14" spans="1:12" x14ac:dyDescent="0.25">
      <c r="A14" s="3" t="s">
        <v>95</v>
      </c>
      <c r="B14" s="4"/>
      <c r="C14" s="4"/>
      <c r="D14" s="4"/>
      <c r="E14" s="69"/>
      <c r="F14" s="72" t="str">
        <f>IF(AND($J14="",$K14=""),"",SUMPRODUCT(--ISNUMBER(SEARCH(","&amp;Verpleegkundigen!$C$2:$C$100&amp;",",","&amp;LOWER(SUBSTITUTE(SUBSTITUTE($J14," ",""),CHAR(160),""))&amp;","))*(Verpleegkundigen!$C$2:$C$100&lt;&gt;LOWER(SUBSTITUTE(SUBSTITUTE($K14," ",""),CHAR(160),""))),Verpleegkundigen!$B$2:$B$100)+IF($K14&lt;&gt;"",1,0))</f>
        <v/>
      </c>
      <c r="G14" s="4"/>
      <c r="H14" s="4"/>
      <c r="I14" s="5"/>
      <c r="J14" s="4"/>
      <c r="K14" s="4"/>
      <c r="L14" s="4"/>
    </row>
    <row r="15" spans="1:12" x14ac:dyDescent="0.25">
      <c r="A15" s="6">
        <v>46251</v>
      </c>
      <c r="B15" s="7" t="s">
        <v>10</v>
      </c>
      <c r="C15" s="7">
        <v>6</v>
      </c>
      <c r="D15" s="7" t="str">
        <f>IF(AND($J15="",$K15=""),"",SUMPRODUCT(--ISNUMBER(SEARCH(","&amp;Verpleegkundigen!$C$2:$C$100&amp;",",","&amp;LOWER(SUBSTITUTE(SUBSTITUTE($J15," ",""),CHAR(160),""))&amp;","))*(Verpleegkundigen!$C$2:$C$100&lt;&gt;LOWER(SUBSTITUTE(SUBSTITUTE($K15," ",""),CHAR(160),""))),Verpleegkundigen!$B$2:$B$100)+IF($K15&lt;&gt;"",1,0))</f>
        <v/>
      </c>
      <c r="E15" s="67">
        <f>IF(F15&gt;D15,1,IF(F15=D15,0,-1))</f>
        <v>0</v>
      </c>
      <c r="F15" s="90" t="str">
        <f>IF(AND($J15="",$K15=""),"",SUMPRODUCT(--ISNUMBER(SEARCH(","&amp;Verpleegkundigen!$C$2:$C$100&amp;",",","&amp;LOWER(SUBSTITUTE(SUBSTITUTE($J15," ",""),CHAR(160),""))&amp;","))*(Verpleegkundigen!$C$2:$C$100&lt;&gt;LOWER(SUBSTITUTE(SUBSTITUTE($K15," ",""),CHAR(160),""))),Verpleegkundigen!$B$2:$B$100)+IF($K15&lt;&gt;"",1,0))</f>
        <v/>
      </c>
      <c r="G15" s="7" t="str">
        <f>IF(AND(C15&lt;&gt;"",D15&lt;&gt;"",C15&gt;D15),"+" &amp; TEXT(C15-D15,"0"),"")</f>
        <v/>
      </c>
      <c r="H15" s="8"/>
      <c r="I15" s="7">
        <f>IF($J15="",5,LEN($J15)-LEN(SUBSTITUTE($J15,",",""))+1)</f>
        <v>5</v>
      </c>
      <c r="J15" s="7"/>
      <c r="K15" s="7"/>
      <c r="L15" s="8"/>
    </row>
    <row r="16" spans="1:12" x14ac:dyDescent="0.25">
      <c r="A16" s="9">
        <v>46252</v>
      </c>
      <c r="B16" s="10" t="s">
        <v>12</v>
      </c>
      <c r="C16" s="10">
        <v>1</v>
      </c>
      <c r="D16" s="10" t="str">
        <f>IF(AND($J16="",$K16=""),"",SUMPRODUCT(--ISNUMBER(SEARCH(","&amp;Verpleegkundigen!$C$2:$C$100&amp;",",","&amp;LOWER(SUBSTITUTE(SUBSTITUTE($J16," ",""),CHAR(160),""))&amp;","))*(Verpleegkundigen!$C$2:$C$100&lt;&gt;LOWER(SUBSTITUTE(SUBSTITUTE($K16," ",""),CHAR(160),""))),Verpleegkundigen!$B$2:$B$100)+IF($K16&lt;&gt;"",1,0))</f>
        <v/>
      </c>
      <c r="E16" s="69">
        <f>IF(F16&gt;D16,1,IF(F16=D16,0,-1))</f>
        <v>0</v>
      </c>
      <c r="F16" s="72" t="str">
        <f>IF(AND($J16="",$K16=""),"",SUMPRODUCT(--ISNUMBER(SEARCH(","&amp;Verpleegkundigen!$C$2:$C$100&amp;",",","&amp;LOWER(SUBSTITUTE(SUBSTITUTE($J16," ",""),CHAR(160),""))&amp;","))*(Verpleegkundigen!$C$2:$C$100&lt;&gt;LOWER(SUBSTITUTE(SUBSTITUTE($K16," ",""),CHAR(160),""))),Verpleegkundigen!$B$2:$B$100)+IF($K16&lt;&gt;"",1,0))</f>
        <v/>
      </c>
      <c r="G16" s="10" t="str">
        <f>IF(AND(C16&lt;&gt;"",D16&lt;&gt;"",C16&gt;D16),"+" &amp; TEXT(C16-D16,"0"),"")</f>
        <v/>
      </c>
      <c r="H16" s="4"/>
      <c r="I16" s="7">
        <f>IF($J16="",5,LEN($J16)-LEN(SUBSTITUTE($J16,",",""))+1)</f>
        <v>5</v>
      </c>
      <c r="J16" s="10"/>
      <c r="K16" s="10"/>
      <c r="L16" s="4"/>
    </row>
    <row r="17" spans="1:12" x14ac:dyDescent="0.25">
      <c r="A17" s="6">
        <v>46253</v>
      </c>
      <c r="B17" s="7" t="s">
        <v>14</v>
      </c>
      <c r="C17" s="7">
        <v>1</v>
      </c>
      <c r="D17" s="7" t="str">
        <f>IF(AND($J17="",$K17=""),"",SUMPRODUCT(--ISNUMBER(SEARCH(","&amp;Verpleegkundigen!$C$2:$C$100&amp;",",","&amp;LOWER(SUBSTITUTE(SUBSTITUTE($J17," ",""),CHAR(160),""))&amp;","))*(Verpleegkundigen!$C$2:$C$100&lt;&gt;LOWER(SUBSTITUTE(SUBSTITUTE($K17," ",""),CHAR(160),""))),Verpleegkundigen!$B$2:$B$100)+IF($K17&lt;&gt;"",1,0))</f>
        <v/>
      </c>
      <c r="E17" s="63">
        <f>IF(F17&gt;D17,1,IF(F17=D17,0,-1))</f>
        <v>0</v>
      </c>
      <c r="F17" s="90" t="str">
        <f>IF(AND($J17="",$K17=""),"",SUMPRODUCT(--ISNUMBER(SEARCH(","&amp;Verpleegkundigen!$C$2:$C$100&amp;",",","&amp;LOWER(SUBSTITUTE(SUBSTITUTE($J17," ",""),CHAR(160),""))&amp;","))*(Verpleegkundigen!$C$2:$C$100&lt;&gt;LOWER(SUBSTITUTE(SUBSTITUTE($K17," ",""),CHAR(160),""))),Verpleegkundigen!$B$2:$B$100)+IF($K17&lt;&gt;"",1,0))</f>
        <v/>
      </c>
      <c r="G17" s="7" t="str">
        <f>IF(AND(C17&lt;&gt;"",D17&lt;&gt;"",C17&gt;D17),"+" &amp; TEXT(C17-D17,"0"),"")</f>
        <v/>
      </c>
      <c r="H17" s="8"/>
      <c r="I17" s="7">
        <f>IF($J17="",5,LEN($J17)-LEN(SUBSTITUTE($J17,",",""))+1)</f>
        <v>5</v>
      </c>
      <c r="J17" s="7"/>
      <c r="K17" s="7"/>
      <c r="L17" s="8"/>
    </row>
    <row r="18" spans="1:12" x14ac:dyDescent="0.25">
      <c r="A18" s="9">
        <v>46254</v>
      </c>
      <c r="B18" s="10" t="s">
        <v>16</v>
      </c>
      <c r="C18" s="10">
        <v>1</v>
      </c>
      <c r="D18" s="10" t="str">
        <f>IF(AND($J18="",$K18=""),"",SUMPRODUCT(--ISNUMBER(SEARCH(","&amp;Verpleegkundigen!$C$2:$C$100&amp;",",","&amp;LOWER(SUBSTITUTE(SUBSTITUTE($J18," ",""),CHAR(160),""))&amp;","))*(Verpleegkundigen!$C$2:$C$100&lt;&gt;LOWER(SUBSTITUTE(SUBSTITUTE($K18," ",""),CHAR(160),""))),Verpleegkundigen!$B$2:$B$100)+IF($K18&lt;&gt;"",1,0))</f>
        <v/>
      </c>
      <c r="E18" s="69">
        <f>IF(F18&gt;D18,1,IF(F18=D18,0,-1))</f>
        <v>0</v>
      </c>
      <c r="F18" s="72" t="str">
        <f>IF(AND($J18="",$K18=""),"",SUMPRODUCT(--ISNUMBER(SEARCH(","&amp;Verpleegkundigen!$C$2:$C$100&amp;",",","&amp;LOWER(SUBSTITUTE(SUBSTITUTE($J18," ",""),CHAR(160),""))&amp;","))*(Verpleegkundigen!$C$2:$C$100&lt;&gt;LOWER(SUBSTITUTE(SUBSTITUTE($K18," ",""),CHAR(160),""))),Verpleegkundigen!$B$2:$B$100)+IF($K18&lt;&gt;"",1,0))</f>
        <v/>
      </c>
      <c r="G18" s="10" t="str">
        <f>IF(AND(C18&lt;&gt;"",D18&lt;&gt;"",C18&gt;D18),"+" &amp; TEXT(C18-D18,"0"),"")</f>
        <v/>
      </c>
      <c r="H18" s="4"/>
      <c r="I18" s="7">
        <f>IF($J18="",5,LEN($J18)-LEN(SUBSTITUTE($J18,",",""))+1)</f>
        <v>5</v>
      </c>
      <c r="J18" s="10"/>
      <c r="K18" s="10"/>
      <c r="L18" s="4"/>
    </row>
    <row r="19" spans="1:12" x14ac:dyDescent="0.25">
      <c r="A19" s="6">
        <v>46255</v>
      </c>
      <c r="B19" s="7" t="s">
        <v>18</v>
      </c>
      <c r="C19" s="7">
        <v>1</v>
      </c>
      <c r="D19" s="7" t="str">
        <f>IF(AND($J19="",$K19=""),"",SUMPRODUCT(--ISNUMBER(SEARCH(","&amp;Verpleegkundigen!$C$2:$C$100&amp;",",","&amp;LOWER(SUBSTITUTE(SUBSTITUTE($J19," ",""),CHAR(160),""))&amp;","))*(Verpleegkundigen!$C$2:$C$100&lt;&gt;LOWER(SUBSTITUTE(SUBSTITUTE($K19," ",""),CHAR(160),""))),Verpleegkundigen!$B$2:$B$100)+IF($K19&lt;&gt;"",1,0))</f>
        <v/>
      </c>
      <c r="E19" s="67">
        <f>IF(F19&gt;D19,1,IF(F19=D19,0,-1))</f>
        <v>0</v>
      </c>
      <c r="F19" s="90" t="str">
        <f>IF(AND($J19="",$K19=""),"",SUMPRODUCT(--ISNUMBER(SEARCH(","&amp;Verpleegkundigen!$C$2:$C$100&amp;",",","&amp;LOWER(SUBSTITUTE(SUBSTITUTE($J19," ",""),CHAR(160),""))&amp;","))*(Verpleegkundigen!$C$2:$C$100&lt;&gt;LOWER(SUBSTITUTE(SUBSTITUTE($K19," ",""),CHAR(160),""))),Verpleegkundigen!$B$2:$B$100)+IF($K19&lt;&gt;"",1,0))</f>
        <v/>
      </c>
      <c r="G19" s="7" t="str">
        <f>IF(AND(C19&lt;&gt;"",D19&lt;&gt;"",C19&gt;D19),"+" &amp; TEXT(C19-D19,"0"),"")</f>
        <v/>
      </c>
      <c r="H19" s="8"/>
      <c r="I19" s="7">
        <f>IF($J19="",5,LEN($J19)-LEN(SUBSTITUTE($J19,",",""))+1)</f>
        <v>5</v>
      </c>
      <c r="J19" s="7"/>
      <c r="K19" s="7"/>
      <c r="L19" s="8"/>
    </row>
    <row r="20" spans="1:12" x14ac:dyDescent="0.25">
      <c r="A20" s="3" t="s">
        <v>96</v>
      </c>
      <c r="B20" s="4"/>
      <c r="C20" s="4"/>
      <c r="D20" s="4"/>
      <c r="E20" s="69"/>
      <c r="F20" s="72" t="str">
        <f>IF(AND($J20="",$K20=""),"",SUMPRODUCT(--ISNUMBER(SEARCH(","&amp;Verpleegkundigen!$C$2:$C$100&amp;",",","&amp;LOWER(SUBSTITUTE(SUBSTITUTE($J20," ",""),CHAR(160),""))&amp;","))*(Verpleegkundigen!$C$2:$C$100&lt;&gt;LOWER(SUBSTITUTE(SUBSTITUTE($K20," ",""),CHAR(160),""))),Verpleegkundigen!$B$2:$B$100)+IF($K20&lt;&gt;"",1,0))</f>
        <v/>
      </c>
      <c r="G20" s="4"/>
      <c r="H20" s="4"/>
      <c r="I20" s="5"/>
      <c r="J20" s="4"/>
      <c r="K20" s="4"/>
      <c r="L20" s="4"/>
    </row>
    <row r="21" spans="1:12" x14ac:dyDescent="0.25">
      <c r="A21" s="6">
        <v>46258</v>
      </c>
      <c r="B21" s="7" t="s">
        <v>10</v>
      </c>
      <c r="C21" s="7">
        <v>0</v>
      </c>
      <c r="D21" s="7" t="str">
        <f>IF(AND($J21="",$K21=""),"",SUMPRODUCT(--ISNUMBER(SEARCH(","&amp;Verpleegkundigen!$C$2:$C$100&amp;",",","&amp;LOWER(SUBSTITUTE(SUBSTITUTE($J21," ",""),CHAR(160),""))&amp;","))*(Verpleegkundigen!$C$2:$C$100&lt;&gt;LOWER(SUBSTITUTE(SUBSTITUTE($K21," ",""),CHAR(160),""))),Verpleegkundigen!$B$2:$B$100)+IF($K21&lt;&gt;"",1,0))</f>
        <v/>
      </c>
      <c r="E21" s="63">
        <f>IF(F21&gt;D21,1,IF(F21=D21,0,-1))</f>
        <v>0</v>
      </c>
      <c r="F21" s="90" t="str">
        <f>IF(AND($J21="",$K21=""),"",SUMPRODUCT(--ISNUMBER(SEARCH(","&amp;Verpleegkundigen!$C$2:$C$100&amp;",",","&amp;LOWER(SUBSTITUTE(SUBSTITUTE($J21," ",""),CHAR(160),""))&amp;","))*(Verpleegkundigen!$C$2:$C$100&lt;&gt;LOWER(SUBSTITUTE(SUBSTITUTE($K21," ",""),CHAR(160),""))),Verpleegkundigen!$B$2:$B$100)+IF($K21&lt;&gt;"",1,0))</f>
        <v/>
      </c>
      <c r="G21" s="7" t="str">
        <f>IF(AND(C21&lt;&gt;"",D21&lt;&gt;"",C21&gt;D21),"+" &amp; TEXT(C21-D21,"0"),"")</f>
        <v/>
      </c>
      <c r="H21" s="8"/>
      <c r="I21" s="7">
        <f>IF($J21="",5,LEN($J21)-LEN(SUBSTITUTE($J21,",",""))+1)</f>
        <v>5</v>
      </c>
      <c r="J21" s="7"/>
      <c r="K21" s="7"/>
      <c r="L21" s="8"/>
    </row>
    <row r="22" spans="1:12" x14ac:dyDescent="0.25">
      <c r="A22" s="9">
        <v>46259</v>
      </c>
      <c r="B22" s="10" t="s">
        <v>12</v>
      </c>
      <c r="C22" s="10">
        <v>0</v>
      </c>
      <c r="D22" s="10" t="str">
        <f>IF(AND($J22="",$K22=""),"",SUMPRODUCT(--ISNUMBER(SEARCH(","&amp;Verpleegkundigen!$C$2:$C$100&amp;",",","&amp;LOWER(SUBSTITUTE(SUBSTITUTE($J22," ",""),CHAR(160),""))&amp;","))*(Verpleegkundigen!$C$2:$C$100&lt;&gt;LOWER(SUBSTITUTE(SUBSTITUTE($K22," ",""),CHAR(160),""))),Verpleegkundigen!$B$2:$B$100)+IF($K22&lt;&gt;"",1,0))</f>
        <v/>
      </c>
      <c r="E22" s="69">
        <f>IF(F22&gt;D22,1,IF(F22=D22,0,-1))</f>
        <v>0</v>
      </c>
      <c r="F22" s="72" t="str">
        <f>IF(AND($J22="",$K22=""),"",SUMPRODUCT(--ISNUMBER(SEARCH(","&amp;Verpleegkundigen!$C$2:$C$100&amp;",",","&amp;LOWER(SUBSTITUTE(SUBSTITUTE($J22," ",""),CHAR(160),""))&amp;","))*(Verpleegkundigen!$C$2:$C$100&lt;&gt;LOWER(SUBSTITUTE(SUBSTITUTE($K22," ",""),CHAR(160),""))),Verpleegkundigen!$B$2:$B$100)+IF($K22&lt;&gt;"",1,0))</f>
        <v/>
      </c>
      <c r="G22" s="10" t="str">
        <f>IF(AND(C22&lt;&gt;"",D22&lt;&gt;"",C22&gt;D22),"+" &amp; TEXT(C22-D22,"0"),"")</f>
        <v/>
      </c>
      <c r="H22" s="4"/>
      <c r="I22" s="7">
        <f>IF($J22="",5,LEN($J22)-LEN(SUBSTITUTE($J22,",",""))+1)</f>
        <v>5</v>
      </c>
      <c r="J22" s="10"/>
      <c r="K22" s="10"/>
      <c r="L22" s="4"/>
    </row>
    <row r="23" spans="1:12" x14ac:dyDescent="0.25">
      <c r="A23" s="6">
        <v>46260</v>
      </c>
      <c r="B23" s="7" t="s">
        <v>14</v>
      </c>
      <c r="C23" s="7">
        <v>1</v>
      </c>
      <c r="D23" s="7" t="str">
        <f>IF(AND($J23="",$K23=""),"",SUMPRODUCT(--ISNUMBER(SEARCH(","&amp;Verpleegkundigen!$C$2:$C$100&amp;",",","&amp;LOWER(SUBSTITUTE(SUBSTITUTE($J23," ",""),CHAR(160),""))&amp;","))*(Verpleegkundigen!$C$2:$C$100&lt;&gt;LOWER(SUBSTITUTE(SUBSTITUTE($K23," ",""),CHAR(160),""))),Verpleegkundigen!$B$2:$B$100)+IF($K23&lt;&gt;"",1,0))</f>
        <v/>
      </c>
      <c r="E23" s="63">
        <f>IF(F23&gt;D23,1,IF(F23=D23,0,-1))</f>
        <v>0</v>
      </c>
      <c r="F23" s="90" t="str">
        <f>IF(AND($J23="",$K23=""),"",SUMPRODUCT(--ISNUMBER(SEARCH(","&amp;Verpleegkundigen!$C$2:$C$100&amp;",",","&amp;LOWER(SUBSTITUTE(SUBSTITUTE($J23," ",""),CHAR(160),""))&amp;","))*(Verpleegkundigen!$C$2:$C$100&lt;&gt;LOWER(SUBSTITUTE(SUBSTITUTE($K23," ",""),CHAR(160),""))),Verpleegkundigen!$B$2:$B$100)+IF($K23&lt;&gt;"",1,0))</f>
        <v/>
      </c>
      <c r="G23" s="7" t="str">
        <f>IF(AND(C23&lt;&gt;"",D23&lt;&gt;"",C23&gt;D23),"+" &amp; TEXT(C23-D23,"0"),"")</f>
        <v/>
      </c>
      <c r="H23" s="8"/>
      <c r="I23" s="7">
        <f>IF($J23="",5,LEN($J23)-LEN(SUBSTITUTE($J23,",",""))+1)</f>
        <v>5</v>
      </c>
      <c r="J23" s="7"/>
      <c r="K23" s="7"/>
      <c r="L23" s="8"/>
    </row>
    <row r="24" spans="1:12" x14ac:dyDescent="0.25">
      <c r="A24" s="9">
        <v>46261</v>
      </c>
      <c r="B24" s="10" t="s">
        <v>16</v>
      </c>
      <c r="C24" s="10">
        <v>0</v>
      </c>
      <c r="D24" s="10" t="str">
        <f>IF(AND($J24="",$K24=""),"",SUMPRODUCT(--ISNUMBER(SEARCH(","&amp;Verpleegkundigen!$C$2:$C$100&amp;",",","&amp;LOWER(SUBSTITUTE(SUBSTITUTE($J24," ",""),CHAR(160),""))&amp;","))*(Verpleegkundigen!$C$2:$C$100&lt;&gt;LOWER(SUBSTITUTE(SUBSTITUTE($K24," ",""),CHAR(160),""))),Verpleegkundigen!$B$2:$B$100)+IF($K24&lt;&gt;"",1,0))</f>
        <v/>
      </c>
      <c r="E24" s="69">
        <f>IF(F24&gt;D24,1,IF(F24=D24,0,-1))</f>
        <v>0</v>
      </c>
      <c r="F24" s="72" t="str">
        <f>IF(AND($J24="",$K24=""),"",SUMPRODUCT(--ISNUMBER(SEARCH(","&amp;Verpleegkundigen!$C$2:$C$100&amp;",",","&amp;LOWER(SUBSTITUTE(SUBSTITUTE($J24," ",""),CHAR(160),""))&amp;","))*(Verpleegkundigen!$C$2:$C$100&lt;&gt;LOWER(SUBSTITUTE(SUBSTITUTE($K24," ",""),CHAR(160),""))),Verpleegkundigen!$B$2:$B$100)+IF($K24&lt;&gt;"",1,0))</f>
        <v/>
      </c>
      <c r="G24" s="10" t="str">
        <f>IF(AND(C24&lt;&gt;"",D24&lt;&gt;"",C24&gt;D24),"+" &amp; TEXT(C24-D24,"0"),"")</f>
        <v/>
      </c>
      <c r="H24" s="4"/>
      <c r="I24" s="7">
        <f>IF($J24="",5,LEN($J24)-LEN(SUBSTITUTE($J24,",",""))+1)</f>
        <v>5</v>
      </c>
      <c r="J24" s="10"/>
      <c r="K24" s="10"/>
      <c r="L24" s="4"/>
    </row>
    <row r="25" spans="1:12" x14ac:dyDescent="0.25">
      <c r="A25" s="6">
        <v>46262</v>
      </c>
      <c r="B25" s="7" t="s">
        <v>18</v>
      </c>
      <c r="C25" s="7">
        <v>0</v>
      </c>
      <c r="D25" s="7" t="str">
        <f>IF(AND($J25="",$K25=""),"",SUMPRODUCT(--ISNUMBER(SEARCH(","&amp;Verpleegkundigen!$C$2:$C$100&amp;",",","&amp;LOWER(SUBSTITUTE(SUBSTITUTE($J25," ",""),CHAR(160),""))&amp;","))*(Verpleegkundigen!$C$2:$C$100&lt;&gt;LOWER(SUBSTITUTE(SUBSTITUTE($K25," ",""),CHAR(160),""))),Verpleegkundigen!$B$2:$B$100)+IF($K25&lt;&gt;"",1,0))</f>
        <v/>
      </c>
      <c r="E25" s="63">
        <f>IF(F25&gt;D25,1,IF(F25=D25,0,-1))</f>
        <v>0</v>
      </c>
      <c r="F25" s="90" t="str">
        <f>IF(AND($J25="",$K25=""),"",SUMPRODUCT(--ISNUMBER(SEARCH(","&amp;Verpleegkundigen!$C$2:$C$100&amp;",",","&amp;LOWER(SUBSTITUTE(SUBSTITUTE($J25," ",""),CHAR(160),""))&amp;","))*(Verpleegkundigen!$C$2:$C$100&lt;&gt;LOWER(SUBSTITUTE(SUBSTITUTE($K25," ",""),CHAR(160),""))),Verpleegkundigen!$B$2:$B$100)+IF($K25&lt;&gt;"",1,0))</f>
        <v/>
      </c>
      <c r="G25" s="7" t="str">
        <f>IF(AND(C25&lt;&gt;"",D25&lt;&gt;"",C25&gt;D25),"+" &amp; TEXT(C25-D25,"0"),"")</f>
        <v/>
      </c>
      <c r="H25" s="8"/>
      <c r="I25" s="7">
        <f>IF($J25="",5,LEN($J25)-LEN(SUBSTITUTE($J25,",",""))+1)</f>
        <v>5</v>
      </c>
      <c r="J25" s="7"/>
      <c r="K25" s="7"/>
      <c r="L25" s="8"/>
    </row>
    <row r="26" spans="1:12" x14ac:dyDescent="0.25">
      <c r="A26" s="3" t="s">
        <v>97</v>
      </c>
      <c r="B26" s="4"/>
      <c r="C26" s="4"/>
      <c r="D26" s="4"/>
      <c r="E26" s="69"/>
      <c r="F26" s="72" t="str">
        <f>IF(AND($J26="",$K26=""),"",SUMPRODUCT(--ISNUMBER(SEARCH(","&amp;Verpleegkundigen!$C$2:$C$100&amp;",",","&amp;LOWER(SUBSTITUTE(SUBSTITUTE($J26," ",""),CHAR(160),""))&amp;","))*(Verpleegkundigen!$C$2:$C$100&lt;&gt;LOWER(SUBSTITUTE(SUBSTITUTE($K26," ",""),CHAR(160),""))),Verpleegkundigen!$B$2:$B$100)+IF($K26&lt;&gt;"",1,0))</f>
        <v/>
      </c>
      <c r="G26" s="4"/>
      <c r="H26" s="4"/>
      <c r="I26" s="5"/>
      <c r="J26" s="4"/>
      <c r="K26" s="4"/>
      <c r="L26" s="4"/>
    </row>
    <row r="27" spans="1:12" x14ac:dyDescent="0.25">
      <c r="A27" s="6">
        <v>46265</v>
      </c>
      <c r="B27" s="7" t="s">
        <v>10</v>
      </c>
      <c r="C27" s="7">
        <v>0</v>
      </c>
      <c r="D27" s="7" t="str">
        <f>IF(AND($J27="",$K27=""),"",SUMPRODUCT(--ISNUMBER(SEARCH(","&amp;Verpleegkundigen!$C$2:$C$100&amp;",",","&amp;LOWER(SUBSTITUTE(SUBSTITUTE($J27," ",""),CHAR(160),""))&amp;","))*(Verpleegkundigen!$C$2:$C$100&lt;&gt;LOWER(SUBSTITUTE(SUBSTITUTE($K27," ",""),CHAR(160),""))),Verpleegkundigen!$B$2:$B$100)+IF($K27&lt;&gt;"",1,0))</f>
        <v/>
      </c>
      <c r="E27" s="63">
        <f>IF(F27&gt;D27,1,IF(F27=D27,0,-1))</f>
        <v>0</v>
      </c>
      <c r="F27" s="90" t="str">
        <f>IF(AND($J27="",$K27=""),"",SUMPRODUCT(--ISNUMBER(SEARCH(","&amp;Verpleegkundigen!$C$2:$C$100&amp;",",","&amp;LOWER(SUBSTITUTE(SUBSTITUTE($J27," ",""),CHAR(160),""))&amp;","))*(Verpleegkundigen!$C$2:$C$100&lt;&gt;LOWER(SUBSTITUTE(SUBSTITUTE($K27," ",""),CHAR(160),""))),Verpleegkundigen!$B$2:$B$100)+IF($K27&lt;&gt;"",1,0))</f>
        <v/>
      </c>
      <c r="G27" s="7" t="str">
        <f>IF(AND(C27&lt;&gt;"",D27&lt;&gt;"",C27&gt;D27),"+" &amp; TEXT(C27-D27,"0"),"")</f>
        <v/>
      </c>
      <c r="H27" s="8"/>
      <c r="I27" s="7">
        <f>IF($J27="",5,LEN($J27)-LEN(SUBSTITUTE($J27,",",""))+1)</f>
        <v>5</v>
      </c>
      <c r="J27" s="7"/>
      <c r="K27" s="7"/>
      <c r="L27" s="8"/>
    </row>
    <row r="28" spans="1:12" x14ac:dyDescent="0.25">
      <c r="E28" s="67"/>
    </row>
    <row r="29" spans="1:12" x14ac:dyDescent="0.25">
      <c r="E29" s="63"/>
    </row>
  </sheetData>
  <conditionalFormatting sqref="C3:C27">
    <cfRule type="expression" dxfId="77" priority="26">
      <formula>AND(ISNUMBER($C3),ISNUMBER($D3),$C3&lt;0.8*$D3)</formula>
    </cfRule>
    <cfRule type="expression" dxfId="76" priority="27">
      <formula>AND(ISNUMBER($C3),ISNUMBER($D3),$C3&gt;=0.8*$D3,$C3&lt;$D3)</formula>
    </cfRule>
    <cfRule type="expression" dxfId="75" priority="28">
      <formula>AND(ISNUMBER($C3),ISNUMBER($D3),$C3&gt;=$D3)</formula>
    </cfRule>
  </conditionalFormatting>
  <conditionalFormatting sqref="I3:I27">
    <cfRule type="expression" dxfId="74" priority="23">
      <formula>$I3=2</formula>
    </cfRule>
    <cfRule type="expression" dxfId="73" priority="24">
      <formula>OR($I3=3,$I3=4)</formula>
    </cfRule>
    <cfRule type="expression" dxfId="72" priority="25">
      <formula>$I3&gt;=5</formula>
    </cfRule>
  </conditionalFormatting>
  <pageMargins left="0.75" right="0.75" top="1" bottom="1" header="0.5" footer="0.5"/>
  <ignoredErrors>
    <ignoredError sqref="E3:E27" formula="1"/>
  </ignoredErrors>
  <extLst>
    <ext xmlns:x14="http://schemas.microsoft.com/office/spreadsheetml/2009/9/main" uri="{78C0D931-6437-407d-A8EE-F0AAD7539E65}">
      <x14:conditionalFormattings>
        <x14:conditionalFormatting xmlns:xm="http://schemas.microsoft.com/office/excel/2006/main">
          <x14:cfRule type="iconSet" priority="16" id="{FC40FA7F-B35D-4E8B-A601-4C1D86F59E0F}">
            <x14:iconSet iconSet="3Triangles" showValue="0">
              <x14:cfvo type="percent">
                <xm:f>0</xm:f>
              </x14:cfvo>
              <x14:cfvo type="formula">
                <xm:f>0</xm:f>
              </x14:cfvo>
              <x14:cfvo type="formula">
                <xm:f>1</xm:f>
              </x14:cfvo>
            </x14:iconSet>
          </x14:cfRule>
          <xm:sqref>E3 E23 E17 E11 E5 E21 E15 E9 E7 E13 E19 E25</xm:sqref>
        </x14:conditionalFormatting>
        <x14:conditionalFormatting xmlns:xm="http://schemas.microsoft.com/office/excel/2006/main">
          <x14:cfRule type="iconSet" priority="15" id="{AEA13ED0-6D51-47B4-8A45-F392A611C1D3}">
            <x14:iconSet iconSet="3Triangles" showValue="0">
              <x14:cfvo type="percent">
                <xm:f>0</xm:f>
              </x14:cfvo>
              <x14:cfvo type="formula">
                <xm:f>0</xm:f>
              </x14:cfvo>
              <x14:cfvo type="formula">
                <xm:f>1</xm:f>
              </x14:cfvo>
            </x14:iconSet>
          </x14:cfRule>
          <xm:sqref>E27</xm:sqref>
        </x14:conditionalFormatting>
        <x14:conditionalFormatting xmlns:xm="http://schemas.microsoft.com/office/excel/2006/main">
          <x14:cfRule type="iconSet" priority="14" id="{389FCF8E-EF85-4FE5-9B5D-620DE74AAD11}">
            <x14:iconSet iconSet="3Triangles" showValue="0">
              <x14:cfvo type="percent">
                <xm:f>0</xm:f>
              </x14:cfvo>
              <x14:cfvo type="formula">
                <xm:f>0</xm:f>
              </x14:cfvo>
              <x14:cfvo type="formula">
                <xm:f>1</xm:f>
              </x14:cfvo>
            </x14:iconSet>
          </x14:cfRule>
          <xm:sqref>E28</xm:sqref>
        </x14:conditionalFormatting>
        <x14:conditionalFormatting xmlns:xm="http://schemas.microsoft.com/office/excel/2006/main">
          <x14:cfRule type="iconSet" priority="13" id="{833AFA03-505D-461D-9196-65D690A2D353}">
            <x14:iconSet iconSet="3Triangles" showValue="0">
              <x14:cfvo type="percent">
                <xm:f>0</xm:f>
              </x14:cfvo>
              <x14:cfvo type="formula">
                <xm:f>0</xm:f>
              </x14:cfvo>
              <x14:cfvo type="formula">
                <xm:f>1</xm:f>
              </x14:cfvo>
            </x14:iconSet>
          </x14:cfRule>
          <xm:sqref>E22</xm:sqref>
        </x14:conditionalFormatting>
        <x14:conditionalFormatting xmlns:xm="http://schemas.microsoft.com/office/excel/2006/main">
          <x14:cfRule type="iconSet" priority="12" id="{B8A4A6B5-69F8-41E7-9B07-569B317D9CFA}">
            <x14:iconSet iconSet="3Triangles" showValue="0">
              <x14:cfvo type="percent">
                <xm:f>0</xm:f>
              </x14:cfvo>
              <x14:cfvo type="formula">
                <xm:f>0</xm:f>
              </x14:cfvo>
              <x14:cfvo type="formula">
                <xm:f>1</xm:f>
              </x14:cfvo>
            </x14:iconSet>
          </x14:cfRule>
          <xm:sqref>E16</xm:sqref>
        </x14:conditionalFormatting>
        <x14:conditionalFormatting xmlns:xm="http://schemas.microsoft.com/office/excel/2006/main">
          <x14:cfRule type="iconSet" priority="11" id="{E8ED73BB-4708-4B39-918E-4C4FF0FB622C}">
            <x14:iconSet iconSet="3Triangles" showValue="0">
              <x14:cfvo type="percent">
                <xm:f>0</xm:f>
              </x14:cfvo>
              <x14:cfvo type="formula">
                <xm:f>0</xm:f>
              </x14:cfvo>
              <x14:cfvo type="formula">
                <xm:f>1</xm:f>
              </x14:cfvo>
            </x14:iconSet>
          </x14:cfRule>
          <xm:sqref>E10</xm:sqref>
        </x14:conditionalFormatting>
        <x14:conditionalFormatting xmlns:xm="http://schemas.microsoft.com/office/excel/2006/main">
          <x14:cfRule type="iconSet" priority="10" id="{89B9FB0C-C8C2-4EFE-A4A9-BEFF9CE4D887}">
            <x14:iconSet iconSet="3Triangles" showValue="0">
              <x14:cfvo type="percent">
                <xm:f>0</xm:f>
              </x14:cfvo>
              <x14:cfvo type="formula">
                <xm:f>0</xm:f>
              </x14:cfvo>
              <x14:cfvo type="formula">
                <xm:f>1</xm:f>
              </x14:cfvo>
            </x14:iconSet>
          </x14:cfRule>
          <xm:sqref>E4</xm:sqref>
        </x14:conditionalFormatting>
        <x14:conditionalFormatting xmlns:xm="http://schemas.microsoft.com/office/excel/2006/main">
          <x14:cfRule type="iconSet" priority="9" id="{7AE0206B-8B57-4368-B8E5-9E7FC280F149}">
            <x14:iconSet iconSet="3Triangles" showValue="0">
              <x14:cfvo type="percent">
                <xm:f>0</xm:f>
              </x14:cfvo>
              <x14:cfvo type="formula">
                <xm:f>0</xm:f>
              </x14:cfvo>
              <x14:cfvo type="formula">
                <xm:f>1</xm:f>
              </x14:cfvo>
            </x14:iconSet>
          </x14:cfRule>
          <xm:sqref>E29</xm:sqref>
        </x14:conditionalFormatting>
        <x14:conditionalFormatting xmlns:xm="http://schemas.microsoft.com/office/excel/2006/main">
          <x14:cfRule type="iconSet" priority="8" id="{EEB249E6-5B29-42EF-8DB0-8B2185AF7A74}">
            <x14:iconSet iconSet="3Triangles" showValue="0">
              <x14:cfvo type="percent">
                <xm:f>0</xm:f>
              </x14:cfvo>
              <x14:cfvo type="formula">
                <xm:f>0</xm:f>
              </x14:cfvo>
              <x14:cfvo type="formula">
                <xm:f>1</xm:f>
              </x14:cfvo>
            </x14:iconSet>
          </x14:cfRule>
          <xm:sqref>E26</xm:sqref>
        </x14:conditionalFormatting>
        <x14:conditionalFormatting xmlns:xm="http://schemas.microsoft.com/office/excel/2006/main">
          <x14:cfRule type="iconSet" priority="7" id="{52021E5B-6259-4654-BE40-062178C5F4C0}">
            <x14:iconSet iconSet="3Triangles" showValue="0">
              <x14:cfvo type="percent">
                <xm:f>0</xm:f>
              </x14:cfvo>
              <x14:cfvo type="formula">
                <xm:f>0</xm:f>
              </x14:cfvo>
              <x14:cfvo type="formula">
                <xm:f>1</xm:f>
              </x14:cfvo>
            </x14:iconSet>
          </x14:cfRule>
          <xm:sqref>E20</xm:sqref>
        </x14:conditionalFormatting>
        <x14:conditionalFormatting xmlns:xm="http://schemas.microsoft.com/office/excel/2006/main">
          <x14:cfRule type="iconSet" priority="6" id="{D11890F3-DD16-4852-88AF-305EDB7FA6B3}">
            <x14:iconSet iconSet="3Triangles" showValue="0">
              <x14:cfvo type="percent">
                <xm:f>0</xm:f>
              </x14:cfvo>
              <x14:cfvo type="formula">
                <xm:f>0</xm:f>
              </x14:cfvo>
              <x14:cfvo type="formula">
                <xm:f>1</xm:f>
              </x14:cfvo>
            </x14:iconSet>
          </x14:cfRule>
          <xm:sqref>E14</xm:sqref>
        </x14:conditionalFormatting>
        <x14:conditionalFormatting xmlns:xm="http://schemas.microsoft.com/office/excel/2006/main">
          <x14:cfRule type="iconSet" priority="5" id="{86507E25-6AB3-4448-A9DE-C35477F8C5BB}">
            <x14:iconSet iconSet="3Triangles" showValue="0">
              <x14:cfvo type="percent">
                <xm:f>0</xm:f>
              </x14:cfvo>
              <x14:cfvo type="formula">
                <xm:f>0</xm:f>
              </x14:cfvo>
              <x14:cfvo type="formula">
                <xm:f>1</xm:f>
              </x14:cfvo>
            </x14:iconSet>
          </x14:cfRule>
          <xm:sqref>E8</xm:sqref>
        </x14:conditionalFormatting>
        <x14:conditionalFormatting xmlns:xm="http://schemas.microsoft.com/office/excel/2006/main">
          <x14:cfRule type="iconSet" priority="4" id="{2C4313E2-63D8-422E-8677-8E7C0DA3221B}">
            <x14:iconSet iconSet="3Triangles" showValue="0">
              <x14:cfvo type="percent">
                <xm:f>0</xm:f>
              </x14:cfvo>
              <x14:cfvo type="formula">
                <xm:f>0</xm:f>
              </x14:cfvo>
              <x14:cfvo type="formula">
                <xm:f>1</xm:f>
              </x14:cfvo>
            </x14:iconSet>
          </x14:cfRule>
          <xm:sqref>E6</xm:sqref>
        </x14:conditionalFormatting>
        <x14:conditionalFormatting xmlns:xm="http://schemas.microsoft.com/office/excel/2006/main">
          <x14:cfRule type="iconSet" priority="3" id="{C70998D2-C191-4D14-B320-4B60E83FC955}">
            <x14:iconSet iconSet="3Triangles" showValue="0">
              <x14:cfvo type="percent">
                <xm:f>0</xm:f>
              </x14:cfvo>
              <x14:cfvo type="formula">
                <xm:f>0</xm:f>
              </x14:cfvo>
              <x14:cfvo type="formula">
                <xm:f>1</xm:f>
              </x14:cfvo>
            </x14:iconSet>
          </x14:cfRule>
          <xm:sqref>E12</xm:sqref>
        </x14:conditionalFormatting>
        <x14:conditionalFormatting xmlns:xm="http://schemas.microsoft.com/office/excel/2006/main">
          <x14:cfRule type="iconSet" priority="2" id="{D7C724F0-AAEE-408F-A179-571AB68D64F2}">
            <x14:iconSet iconSet="3Triangles" showValue="0">
              <x14:cfvo type="percent">
                <xm:f>0</xm:f>
              </x14:cfvo>
              <x14:cfvo type="formula">
                <xm:f>0</xm:f>
              </x14:cfvo>
              <x14:cfvo type="formula">
                <xm:f>1</xm:f>
              </x14:cfvo>
            </x14:iconSet>
          </x14:cfRule>
          <xm:sqref>E18</xm:sqref>
        </x14:conditionalFormatting>
        <x14:conditionalFormatting xmlns:xm="http://schemas.microsoft.com/office/excel/2006/main">
          <x14:cfRule type="iconSet" priority="1" id="{6338FE26-FADE-4CCA-B767-D49BB97529B8}">
            <x14:iconSet iconSet="3Triangles" showValue="0">
              <x14:cfvo type="percent">
                <xm:f>0</xm:f>
              </x14:cfvo>
              <x14:cfvo type="formula">
                <xm:f>0</xm:f>
              </x14:cfvo>
              <x14:cfvo type="formula">
                <xm:f>1</xm:f>
              </x14:cfvo>
            </x14:iconSet>
          </x14:cfRule>
          <xm:sqref>E24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F34" sqref="F34"/>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4.28515625"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7109375" bestFit="1" customWidth="1"/>
  </cols>
  <sheetData>
    <row r="1" spans="1:12" x14ac:dyDescent="0.25">
      <c r="A1" s="1" t="s">
        <v>0</v>
      </c>
      <c r="B1" s="1" t="s">
        <v>1</v>
      </c>
      <c r="C1" s="1" t="s">
        <v>2</v>
      </c>
      <c r="D1" s="1" t="s">
        <v>145</v>
      </c>
      <c r="E1" s="1"/>
      <c r="F1" s="1" t="s">
        <v>146</v>
      </c>
      <c r="G1" s="1" t="s">
        <v>4</v>
      </c>
      <c r="H1" s="1" t="s">
        <v>5</v>
      </c>
      <c r="I1" s="1" t="s">
        <v>6</v>
      </c>
      <c r="J1" s="1" t="s">
        <v>7</v>
      </c>
      <c r="K1" s="1" t="s">
        <v>8</v>
      </c>
      <c r="L1" s="1" t="s">
        <v>148</v>
      </c>
    </row>
    <row r="2" spans="1:12" x14ac:dyDescent="0.25">
      <c r="A2" s="3" t="s">
        <v>97</v>
      </c>
      <c r="B2" s="4"/>
      <c r="C2" s="4"/>
      <c r="D2" s="4"/>
      <c r="E2" s="4"/>
      <c r="F2" s="10" t="str">
        <f>IF(AND($J2="",$K2=""),"",SUMPRODUCT(--ISNUMBER(SEARCH(","&amp;Verpleegkundigen!$C$2:$C$100&amp;",",","&amp;LOWER(SUBSTITUTE(SUBSTITUTE($J2," ",""),CHAR(160),""))&amp;","))*(Verpleegkundigen!$C$2:$C$100&lt;&gt;LOWER(SUBSTITUTE(SUBSTITUTE($K2," ",""),CHAR(160),""))),Verpleegkundigen!$B$2:$B$100)+IF($K2&lt;&gt;"",1,0))</f>
        <v/>
      </c>
      <c r="G2" s="4"/>
      <c r="H2" s="4"/>
      <c r="I2" s="5"/>
      <c r="J2" s="4"/>
      <c r="K2" s="4"/>
      <c r="L2" s="4"/>
    </row>
    <row r="3" spans="1:12" x14ac:dyDescent="0.25">
      <c r="A3" s="6">
        <v>46266</v>
      </c>
      <c r="B3" s="7" t="s">
        <v>12</v>
      </c>
      <c r="C3" s="7">
        <v>5</v>
      </c>
      <c r="D3" s="7" t="str">
        <f>IF(AND($J3="",$K3=""),"",SUMPRODUCT(--ISNUMBER(SEARCH(","&amp;Verpleegkundigen!$C$2:$C$100&amp;",",","&amp;LOWER(SUBSTITUTE(SUBSTITUTE($J3," ",""),CHAR(160),""))&amp;","))*(Verpleegkundigen!$C$2:$C$100&lt;&gt;LOWER(SUBSTITUTE(SUBSTITUTE($K3," ",""),CHAR(160),""))),Verpleegkundigen!$B$2:$B$100)+IF($K3&lt;&gt;"",1,0))</f>
        <v/>
      </c>
      <c r="E3" s="63">
        <f>IF(F3&gt;D3,1,IF(F3=D3,0,-1))</f>
        <v>0</v>
      </c>
      <c r="F3" s="92"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46267</v>
      </c>
      <c r="B4" s="10" t="s">
        <v>14</v>
      </c>
      <c r="C4" s="10">
        <v>5</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6">
        <v>46268</v>
      </c>
      <c r="B5" s="7" t="s">
        <v>16</v>
      </c>
      <c r="C5" s="7">
        <v>5</v>
      </c>
      <c r="D5" s="7" t="str">
        <f>IF(AND($J5="",$K5=""),"",SUMPRODUCT(--ISNUMBER(SEARCH(","&amp;Verpleegkundigen!$C$2:$C$100&amp;",",","&amp;LOWER(SUBSTITUTE(SUBSTITUTE($J5," ",""),CHAR(160),""))&amp;","))*(Verpleegkundigen!$C$2:$C$100&lt;&gt;LOWER(SUBSTITUTE(SUBSTITUTE($K5," ",""),CHAR(160),""))),Verpleegkundigen!$B$2:$B$100)+IF($K5&lt;&gt;"",1,0))</f>
        <v/>
      </c>
      <c r="E5" s="63">
        <f>IF(F5&gt;D5,1,IF(F5=D5,0,-1))</f>
        <v>0</v>
      </c>
      <c r="F5" s="92"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8"/>
    </row>
    <row r="6" spans="1:12" x14ac:dyDescent="0.25">
      <c r="A6" s="9">
        <v>46269</v>
      </c>
      <c r="B6" s="10" t="s">
        <v>18</v>
      </c>
      <c r="C6" s="10">
        <v>7</v>
      </c>
      <c r="D6" s="10" t="str">
        <f>IF(AND($J6="",$K6=""),"",SUMPRODUCT(--ISNUMBER(SEARCH(","&amp;Verpleegkundigen!$C$2:$C$100&amp;",",","&amp;LOWER(SUBSTITUTE(SUBSTITUTE($J6," ",""),CHAR(160),""))&amp;","))*(Verpleegkundigen!$C$2:$C$100&lt;&gt;LOWER(SUBSTITUTE(SUBSTITUTE($K6," ",""),CHAR(160),""))),Verpleegkundigen!$B$2:$B$100)+IF($K6&lt;&gt;"",1,0))</f>
        <v/>
      </c>
      <c r="E6" s="69">
        <f>IF(F6&gt;D6,1,IF(F6=D6,0,-1))</f>
        <v>0</v>
      </c>
      <c r="F6" s="72" t="str">
        <f>IF(AND($J6="",$K6=""),"",SUMPRODUCT(--ISNUMBER(SEARCH(","&amp;Verpleegkundigen!$C$2:$C$100&amp;",",","&amp;LOWER(SUBSTITUTE(SUBSTITUTE($J6," ",""),CHAR(160),""))&amp;","))*(Verpleegkundigen!$C$2:$C$100&lt;&gt;LOWER(SUBSTITUTE(SUBSTITUTE($K6," ",""),CHAR(160),""))),Verpleegkundigen!$B$2:$B$100)+IF($K6&lt;&gt;"",1,0))</f>
        <v/>
      </c>
      <c r="G6" s="10" t="str">
        <f>IF(AND(C6&lt;&gt;"",D6&lt;&gt;"",C6&gt;D6),"+" &amp; TEXT(C6-D6,"0"),"")</f>
        <v/>
      </c>
      <c r="H6" s="4"/>
      <c r="I6" s="7">
        <f>IF($J6="",5,LEN($J6)-LEN(SUBSTITUTE($J6,",",""))+1)</f>
        <v>5</v>
      </c>
      <c r="J6" s="10"/>
      <c r="K6" s="10"/>
      <c r="L6" s="4"/>
    </row>
    <row r="7" spans="1:12" x14ac:dyDescent="0.25">
      <c r="A7" s="3" t="s">
        <v>98</v>
      </c>
      <c r="B7" s="4"/>
      <c r="C7" s="4"/>
      <c r="D7" s="4"/>
      <c r="E7" s="64">
        <f>IF(F7&gt;D7,1,IF(F7=D7,0,-1))</f>
        <v>0</v>
      </c>
      <c r="F7" s="72" t="str">
        <f>IF(AND($J7="",$K7=""),"",SUMPRODUCT(--ISNUMBER(SEARCH(","&amp;Verpleegkundigen!$C$2:$C$100&amp;",",","&amp;LOWER(SUBSTITUTE(SUBSTITUTE($J7," ",""),CHAR(160),""))&amp;","))*(Verpleegkundigen!$C$2:$C$100&lt;&gt;LOWER(SUBSTITUTE(SUBSTITUTE($K7," ",""),CHAR(160),""))),Verpleegkundigen!$B$2:$B$100)+IF($K7&lt;&gt;"",1,0))</f>
        <v/>
      </c>
      <c r="G7" s="4"/>
      <c r="H7" s="4"/>
      <c r="I7" s="5"/>
      <c r="J7" s="4"/>
      <c r="K7" s="4"/>
      <c r="L7" s="4"/>
    </row>
    <row r="8" spans="1:12" x14ac:dyDescent="0.25">
      <c r="A8" s="6">
        <v>46272</v>
      </c>
      <c r="B8" s="7" t="s">
        <v>10</v>
      </c>
      <c r="C8" s="7">
        <v>13</v>
      </c>
      <c r="D8" s="7" t="str">
        <f>IF(AND($J8="",$K8=""),"",SUMPRODUCT(--ISNUMBER(SEARCH(","&amp;Verpleegkundigen!$C$2:$C$100&amp;",",","&amp;LOWER(SUBSTITUTE(SUBSTITUTE($J8," ",""),CHAR(160),""))&amp;","))*(Verpleegkundigen!$C$2:$C$100&lt;&gt;LOWER(SUBSTITUTE(SUBSTITUTE($K8," ",""),CHAR(160),""))),Verpleegkundigen!$B$2:$B$100)+IF($K8&lt;&gt;"",1,0))</f>
        <v/>
      </c>
      <c r="E8" s="67"/>
      <c r="F8" s="92" t="str">
        <f>IF(AND($J8="",$K8=""),"",SUMPRODUCT(--ISNUMBER(SEARCH(","&amp;Verpleegkundigen!$C$2:$C$100&amp;",",","&amp;LOWER(SUBSTITUTE(SUBSTITUTE($J8," ",""),CHAR(160),""))&amp;","))*(Verpleegkundigen!$C$2:$C$100&lt;&gt;LOWER(SUBSTITUTE(SUBSTITUTE($K8," ",""),CHAR(160),""))),Verpleegkundigen!$B$2:$B$100)+IF($K8&lt;&gt;"",1,0))</f>
        <v/>
      </c>
      <c r="G8" s="7" t="str">
        <f>IF(AND(C8&lt;&gt;"",D8&lt;&gt;"",C8&gt;D8),"+" &amp; TEXT(C8-D8,"0"),"")</f>
        <v/>
      </c>
      <c r="H8" s="8"/>
      <c r="I8" s="7">
        <f>IF($J8="",5,LEN($J8)-LEN(SUBSTITUTE($J8,",",""))+1)</f>
        <v>5</v>
      </c>
      <c r="J8" s="7"/>
      <c r="K8" s="7"/>
      <c r="L8" s="8"/>
    </row>
    <row r="9" spans="1:12" x14ac:dyDescent="0.25">
      <c r="A9" s="9">
        <v>46273</v>
      </c>
      <c r="B9" s="10" t="s">
        <v>12</v>
      </c>
      <c r="C9" s="10">
        <v>7</v>
      </c>
      <c r="D9" s="10" t="str">
        <f>IF(AND($J9="",$K9=""),"",SUMPRODUCT(--ISNUMBER(SEARCH(","&amp;Verpleegkundigen!$C$2:$C$100&amp;",",","&amp;LOWER(SUBSTITUTE(SUBSTITUTE($J9," ",""),CHAR(160),""))&amp;","))*(Verpleegkundigen!$C$2:$C$100&lt;&gt;LOWER(SUBSTITUTE(SUBSTITUTE($K9," ",""),CHAR(160),""))),Verpleegkundigen!$B$2:$B$100)+IF($K9&lt;&gt;"",1,0))</f>
        <v/>
      </c>
      <c r="E9" s="69">
        <f>IF(F9&gt;D9,1,IF(F9=D9,0,-1))</f>
        <v>0</v>
      </c>
      <c r="F9" s="72" t="str">
        <f>IF(AND($J9="",$K9=""),"",SUMPRODUCT(--ISNUMBER(SEARCH(","&amp;Verpleegkundigen!$C$2:$C$100&amp;",",","&amp;LOWER(SUBSTITUTE(SUBSTITUTE($J9," ",""),CHAR(160),""))&amp;","))*(Verpleegkundigen!$C$2:$C$100&lt;&gt;LOWER(SUBSTITUTE(SUBSTITUTE($K9," ",""),CHAR(160),""))),Verpleegkundigen!$B$2:$B$100)+IF($K9&lt;&gt;"",1,0))</f>
        <v/>
      </c>
      <c r="G9" s="10" t="str">
        <f>IF(AND(C9&lt;&gt;"",D9&lt;&gt;"",C9&gt;D9),"+" &amp; TEXT(C9-D9,"0"),"")</f>
        <v/>
      </c>
      <c r="H9" s="4"/>
      <c r="I9" s="7">
        <f>IF($J9="",5,LEN($J9)-LEN(SUBSTITUTE($J9,",",""))+1)</f>
        <v>5</v>
      </c>
      <c r="J9" s="10"/>
      <c r="K9" s="10"/>
      <c r="L9" s="4"/>
    </row>
    <row r="10" spans="1:12" x14ac:dyDescent="0.25">
      <c r="A10" s="6">
        <v>46274</v>
      </c>
      <c r="B10" s="7" t="s">
        <v>14</v>
      </c>
      <c r="C10" s="7">
        <v>9</v>
      </c>
      <c r="D10" s="7" t="str">
        <f>IF(AND($J10="",$K10=""),"",SUMPRODUCT(--ISNUMBER(SEARCH(","&amp;Verpleegkundigen!$C$2:$C$100&amp;",",","&amp;LOWER(SUBSTITUTE(SUBSTITUTE($J10," ",""),CHAR(160),""))&amp;","))*(Verpleegkundigen!$C$2:$C$100&lt;&gt;LOWER(SUBSTITUTE(SUBSTITUTE($K10," ",""),CHAR(160),""))),Verpleegkundigen!$B$2:$B$100)+IF($K10&lt;&gt;"",1,0))</f>
        <v/>
      </c>
      <c r="E10" s="67">
        <f>IF(F10&gt;D10,1,IF(F10=D10,0,-1))</f>
        <v>0</v>
      </c>
      <c r="F10" s="92" t="str">
        <f>IF(AND($J10="",$K10=""),"",SUMPRODUCT(--ISNUMBER(SEARCH(","&amp;Verpleegkundigen!$C$2:$C$100&amp;",",","&amp;LOWER(SUBSTITUTE(SUBSTITUTE($J10," ",""),CHAR(160),""))&amp;","))*(Verpleegkundigen!$C$2:$C$100&lt;&gt;LOWER(SUBSTITUTE(SUBSTITUTE($K10," ",""),CHAR(160),""))),Verpleegkundigen!$B$2:$B$100)+IF($K10&lt;&gt;"",1,0))</f>
        <v/>
      </c>
      <c r="G10" s="7" t="str">
        <f>IF(AND(C10&lt;&gt;"",D10&lt;&gt;"",C10&gt;D10),"+" &amp; TEXT(C10-D10,"0"),"")</f>
        <v/>
      </c>
      <c r="H10" s="8"/>
      <c r="I10" s="7">
        <f>IF($J10="",5,LEN($J10)-LEN(SUBSTITUTE($J10,",",""))+1)</f>
        <v>5</v>
      </c>
      <c r="J10" s="7"/>
      <c r="K10" s="7"/>
      <c r="L10" s="8"/>
    </row>
    <row r="11" spans="1:12" x14ac:dyDescent="0.25">
      <c r="A11" s="9">
        <v>46275</v>
      </c>
      <c r="B11" s="10" t="s">
        <v>16</v>
      </c>
      <c r="C11" s="10">
        <v>5</v>
      </c>
      <c r="D11" s="10" t="str">
        <f>IF(AND($J11="",$K11=""),"",SUMPRODUCT(--ISNUMBER(SEARCH(","&amp;Verpleegkundigen!$C$2:$C$100&amp;",",","&amp;LOWER(SUBSTITUTE(SUBSTITUTE($J11," ",""),CHAR(160),""))&amp;","))*(Verpleegkundigen!$C$2:$C$100&lt;&gt;LOWER(SUBSTITUTE(SUBSTITUTE($K11," ",""),CHAR(160),""))),Verpleegkundigen!$B$2:$B$100)+IF($K11&lt;&gt;"",1,0))</f>
        <v/>
      </c>
      <c r="E11" s="64">
        <f>IF(F11&gt;D11,1,IF(F11=D11,0,-1))</f>
        <v>0</v>
      </c>
      <c r="F11" s="72" t="str">
        <f>IF(AND($J11="",$K11=""),"",SUMPRODUCT(--ISNUMBER(SEARCH(","&amp;Verpleegkundigen!$C$2:$C$100&amp;",",","&amp;LOWER(SUBSTITUTE(SUBSTITUTE($J11," ",""),CHAR(160),""))&amp;","))*(Verpleegkundigen!$C$2:$C$100&lt;&gt;LOWER(SUBSTITUTE(SUBSTITUTE($K11," ",""),CHAR(160),""))),Verpleegkundigen!$B$2:$B$100)+IF($K11&lt;&gt;"",1,0))</f>
        <v/>
      </c>
      <c r="G11" s="10" t="str">
        <f>IF(AND(C11&lt;&gt;"",D11&lt;&gt;"",C11&gt;D11),"+" &amp; TEXT(C11-D11,"0"),"")</f>
        <v/>
      </c>
      <c r="H11" s="4"/>
      <c r="I11" s="7">
        <f>IF($J11="",5,LEN($J11)-LEN(SUBSTITUTE($J11,",",""))+1)</f>
        <v>5</v>
      </c>
      <c r="J11" s="10"/>
      <c r="K11" s="10"/>
      <c r="L11" s="4"/>
    </row>
    <row r="12" spans="1:12" x14ac:dyDescent="0.25">
      <c r="A12" s="6">
        <v>46276</v>
      </c>
      <c r="B12" s="7" t="s">
        <v>18</v>
      </c>
      <c r="C12" s="7">
        <v>13</v>
      </c>
      <c r="D12" s="7" t="str">
        <f>IF(AND($J12="",$K12=""),"",SUMPRODUCT(--ISNUMBER(SEARCH(","&amp;Verpleegkundigen!$C$2:$C$100&amp;",",","&amp;LOWER(SUBSTITUTE(SUBSTITUTE($J12," ",""),CHAR(160),""))&amp;","))*(Verpleegkundigen!$C$2:$C$100&lt;&gt;LOWER(SUBSTITUTE(SUBSTITUTE($K12," ",""),CHAR(160),""))),Verpleegkundigen!$B$2:$B$100)+IF($K12&lt;&gt;"",1,0))</f>
        <v/>
      </c>
      <c r="E12" s="67">
        <f>IF(F12&gt;D12,1,IF(F12=D12,0,-1))</f>
        <v>0</v>
      </c>
      <c r="F12" s="92" t="str">
        <f>IF(AND($J12="",$K12=""),"",SUMPRODUCT(--ISNUMBER(SEARCH(","&amp;Verpleegkundigen!$C$2:$C$100&amp;",",","&amp;LOWER(SUBSTITUTE(SUBSTITUTE($J12," ",""),CHAR(160),""))&amp;","))*(Verpleegkundigen!$C$2:$C$100&lt;&gt;LOWER(SUBSTITUTE(SUBSTITUTE($K12," ",""),CHAR(160),""))),Verpleegkundigen!$B$2:$B$100)+IF($K12&lt;&gt;"",1,0))</f>
        <v/>
      </c>
      <c r="G12" s="7" t="str">
        <f>IF(AND(C12&lt;&gt;"",D12&lt;&gt;"",C12&gt;D12),"+" &amp; TEXT(C12-D12,"0"),"")</f>
        <v/>
      </c>
      <c r="H12" s="8"/>
      <c r="I12" s="7">
        <f>IF($J12="",5,LEN($J12)-LEN(SUBSTITUTE($J12,",",""))+1)</f>
        <v>5</v>
      </c>
      <c r="J12" s="7"/>
      <c r="K12" s="7"/>
      <c r="L12" s="8"/>
    </row>
    <row r="13" spans="1:12" x14ac:dyDescent="0.25">
      <c r="A13" s="3" t="s">
        <v>99</v>
      </c>
      <c r="B13" s="4"/>
      <c r="C13" s="4"/>
      <c r="D13" s="4"/>
      <c r="E13" s="64"/>
      <c r="F13" s="72" t="str">
        <f>IF(AND($J13="",$K13=""),"",SUMPRODUCT(--ISNUMBER(SEARCH(","&amp;Verpleegkundigen!$C$2:$C$100&amp;",",","&amp;LOWER(SUBSTITUTE(SUBSTITUTE($J13," ",""),CHAR(160),""))&amp;","))*(Verpleegkundigen!$C$2:$C$100&lt;&gt;LOWER(SUBSTITUTE(SUBSTITUTE($K13," ",""),CHAR(160),""))),Verpleegkundigen!$B$2:$B$100)+IF($K13&lt;&gt;"",1,0))</f>
        <v/>
      </c>
      <c r="G13" s="4"/>
      <c r="H13" s="4"/>
      <c r="I13" s="5"/>
      <c r="J13" s="4"/>
      <c r="K13" s="4"/>
      <c r="L13" s="4"/>
    </row>
    <row r="14" spans="1:12" x14ac:dyDescent="0.25">
      <c r="A14" s="6">
        <v>46279</v>
      </c>
      <c r="B14" s="7" t="s">
        <v>10</v>
      </c>
      <c r="C14" s="7">
        <v>6</v>
      </c>
      <c r="D14" s="7" t="str">
        <f>IF(AND($J14="",$K14=""),"",SUMPRODUCT(--ISNUMBER(SEARCH(","&amp;Verpleegkundigen!$C$2:$C$100&amp;",",","&amp;LOWER(SUBSTITUTE(SUBSTITUTE($J14," ",""),CHAR(160),""))&amp;","))*(Verpleegkundigen!$C$2:$C$100&lt;&gt;LOWER(SUBSTITUTE(SUBSTITUTE($K14," ",""),CHAR(160),""))),Verpleegkundigen!$B$2:$B$100)+IF($K14&lt;&gt;"",1,0))</f>
        <v/>
      </c>
      <c r="E14" s="67">
        <f>IF(F14&gt;D14,1,IF(F14=D14,0,-1))</f>
        <v>0</v>
      </c>
      <c r="F14" s="92" t="str">
        <f>IF(AND($J14="",$K14=""),"",SUMPRODUCT(--ISNUMBER(SEARCH(","&amp;Verpleegkundigen!$C$2:$C$100&amp;",",","&amp;LOWER(SUBSTITUTE(SUBSTITUTE($J14," ",""),CHAR(160),""))&amp;","))*(Verpleegkundigen!$C$2:$C$100&lt;&gt;LOWER(SUBSTITUTE(SUBSTITUTE($K14," ",""),CHAR(160),""))),Verpleegkundigen!$B$2:$B$100)+IF($K14&lt;&gt;"",1,0))</f>
        <v/>
      </c>
      <c r="G14" s="7" t="str">
        <f>IF(AND(C14&lt;&gt;"",D14&lt;&gt;"",C14&gt;D14),"+" &amp; TEXT(C14-D14,"0"),"")</f>
        <v/>
      </c>
      <c r="H14" s="8"/>
      <c r="I14" s="7">
        <f>IF($J14="",5,LEN($J14)-LEN(SUBSTITUTE($J14,",",""))+1)</f>
        <v>5</v>
      </c>
      <c r="J14" s="7"/>
      <c r="K14" s="7"/>
      <c r="L14" s="8"/>
    </row>
    <row r="15" spans="1:12" x14ac:dyDescent="0.25">
      <c r="A15" s="9">
        <v>46280</v>
      </c>
      <c r="B15" s="10" t="s">
        <v>12</v>
      </c>
      <c r="C15" s="10">
        <v>1</v>
      </c>
      <c r="D15" s="10" t="str">
        <f>IF(AND($J15="",$K15=""),"",SUMPRODUCT(--ISNUMBER(SEARCH(","&amp;Verpleegkundigen!$C$2:$C$100&amp;",",","&amp;LOWER(SUBSTITUTE(SUBSTITUTE($J15," ",""),CHAR(160),""))&amp;","))*(Verpleegkundigen!$C$2:$C$100&lt;&gt;LOWER(SUBSTITUTE(SUBSTITUTE($K15," ",""),CHAR(160),""))),Verpleegkundigen!$B$2:$B$100)+IF($K15&lt;&gt;"",1,0))</f>
        <v/>
      </c>
      <c r="E15" s="69">
        <f>IF(F15&gt;D15,1,IF(F15=D15,0,-1))</f>
        <v>0</v>
      </c>
      <c r="F15" s="72" t="str">
        <f>IF(AND($J15="",$K15=""),"",SUMPRODUCT(--ISNUMBER(SEARCH(","&amp;Verpleegkundigen!$C$2:$C$100&amp;",",","&amp;LOWER(SUBSTITUTE(SUBSTITUTE($J15," ",""),CHAR(160),""))&amp;","))*(Verpleegkundigen!$C$2:$C$100&lt;&gt;LOWER(SUBSTITUTE(SUBSTITUTE($K15," ",""),CHAR(160),""))),Verpleegkundigen!$B$2:$B$100)+IF($K15&lt;&gt;"",1,0))</f>
        <v/>
      </c>
      <c r="G15" s="10" t="str">
        <f>IF(AND(C15&lt;&gt;"",D15&lt;&gt;"",C15&gt;D15),"+" &amp; TEXT(C15-D15,"0"),"")</f>
        <v/>
      </c>
      <c r="H15" s="4"/>
      <c r="I15" s="7">
        <f>IF($J15="",5,LEN($J15)-LEN(SUBSTITUTE($J15,",",""))+1)</f>
        <v>5</v>
      </c>
      <c r="J15" s="10"/>
      <c r="K15" s="10"/>
      <c r="L15" s="4"/>
    </row>
    <row r="16" spans="1:12" x14ac:dyDescent="0.25">
      <c r="A16" s="6">
        <v>46281</v>
      </c>
      <c r="B16" s="7" t="s">
        <v>14</v>
      </c>
      <c r="C16" s="7">
        <v>1</v>
      </c>
      <c r="D16" s="7" t="str">
        <f>IF(AND($J16="",$K16=""),"",SUMPRODUCT(--ISNUMBER(SEARCH(","&amp;Verpleegkundigen!$C$2:$C$100&amp;",",","&amp;LOWER(SUBSTITUTE(SUBSTITUTE($J16," ",""),CHAR(160),""))&amp;","))*(Verpleegkundigen!$C$2:$C$100&lt;&gt;LOWER(SUBSTITUTE(SUBSTITUTE($K16," ",""),CHAR(160),""))),Verpleegkundigen!$B$2:$B$100)+IF($K16&lt;&gt;"",1,0))</f>
        <v/>
      </c>
      <c r="E16" s="67">
        <f>IF(F16&gt;D16,1,IF(F16=D16,0,-1))</f>
        <v>0</v>
      </c>
      <c r="F16" s="92" t="str">
        <f>IF(AND($J16="",$K16=""),"",SUMPRODUCT(--ISNUMBER(SEARCH(","&amp;Verpleegkundigen!$C$2:$C$100&amp;",",","&amp;LOWER(SUBSTITUTE(SUBSTITUTE($J16," ",""),CHAR(160),""))&amp;","))*(Verpleegkundigen!$C$2:$C$100&lt;&gt;LOWER(SUBSTITUTE(SUBSTITUTE($K16," ",""),CHAR(160),""))),Verpleegkundigen!$B$2:$B$100)+IF($K16&lt;&gt;"",1,0))</f>
        <v/>
      </c>
      <c r="G16" s="7" t="str">
        <f>IF(AND(C16&lt;&gt;"",D16&lt;&gt;"",C16&gt;D16),"+" &amp; TEXT(C16-D16,"0"),"")</f>
        <v/>
      </c>
      <c r="H16" s="8"/>
      <c r="I16" s="7">
        <f>IF($J16="",5,LEN($J16)-LEN(SUBSTITUTE($J16,",",""))+1)</f>
        <v>5</v>
      </c>
      <c r="J16" s="7"/>
      <c r="K16" s="7"/>
      <c r="L16" s="8"/>
    </row>
    <row r="17" spans="1:12" x14ac:dyDescent="0.25">
      <c r="A17" s="9">
        <v>46282</v>
      </c>
      <c r="B17" s="10" t="s">
        <v>16</v>
      </c>
      <c r="C17" s="10">
        <v>1</v>
      </c>
      <c r="D17" s="10" t="str">
        <f>IF(AND($J17="",$K17=""),"",SUMPRODUCT(--ISNUMBER(SEARCH(","&amp;Verpleegkundigen!$C$2:$C$100&amp;",",","&amp;LOWER(SUBSTITUTE(SUBSTITUTE($J17," ",""),CHAR(160),""))&amp;","))*(Verpleegkundigen!$C$2:$C$100&lt;&gt;LOWER(SUBSTITUTE(SUBSTITUTE($K17," ",""),CHAR(160),""))),Verpleegkundigen!$B$2:$B$100)+IF($K17&lt;&gt;"",1,0))</f>
        <v/>
      </c>
      <c r="E17" s="64">
        <f>IF(F17&gt;D17,1,IF(F17=D17,0,-1))</f>
        <v>0</v>
      </c>
      <c r="F17" s="72" t="str">
        <f>IF(AND($J17="",$K17=""),"",SUMPRODUCT(--ISNUMBER(SEARCH(","&amp;Verpleegkundigen!$C$2:$C$100&amp;",",","&amp;LOWER(SUBSTITUTE(SUBSTITUTE($J17," ",""),CHAR(160),""))&amp;","))*(Verpleegkundigen!$C$2:$C$100&lt;&gt;LOWER(SUBSTITUTE(SUBSTITUTE($K17," ",""),CHAR(160),""))),Verpleegkundigen!$B$2:$B$100)+IF($K17&lt;&gt;"",1,0))</f>
        <v/>
      </c>
      <c r="G17" s="10" t="str">
        <f>IF(AND(C17&lt;&gt;"",D17&lt;&gt;"",C17&gt;D17),"+" &amp; TEXT(C17-D17,"0"),"")</f>
        <v/>
      </c>
      <c r="H17" s="4"/>
      <c r="I17" s="7">
        <f>IF($J17="",5,LEN($J17)-LEN(SUBSTITUTE($J17,",",""))+1)</f>
        <v>5</v>
      </c>
      <c r="J17" s="10"/>
      <c r="K17" s="10"/>
      <c r="L17" s="4"/>
    </row>
    <row r="18" spans="1:12" x14ac:dyDescent="0.25">
      <c r="A18" s="6">
        <v>46283</v>
      </c>
      <c r="B18" s="7" t="s">
        <v>18</v>
      </c>
      <c r="C18" s="7">
        <v>1</v>
      </c>
      <c r="D18" s="7" t="str">
        <f>IF(AND($J18="",$K18=""),"",SUMPRODUCT(--ISNUMBER(SEARCH(","&amp;Verpleegkundigen!$C$2:$C$100&amp;",",","&amp;LOWER(SUBSTITUTE(SUBSTITUTE($J18," ",""),CHAR(160),""))&amp;","))*(Verpleegkundigen!$C$2:$C$100&lt;&gt;LOWER(SUBSTITUTE(SUBSTITUTE($K18," ",""),CHAR(160),""))),Verpleegkundigen!$B$2:$B$100)+IF($K18&lt;&gt;"",1,0))</f>
        <v/>
      </c>
      <c r="E18" s="67">
        <f>IF(F18&gt;D18,1,IF(F18=D18,0,-1))</f>
        <v>0</v>
      </c>
      <c r="F18" s="92" t="str">
        <f>IF(AND($J18="",$K18=""),"",SUMPRODUCT(--ISNUMBER(SEARCH(","&amp;Verpleegkundigen!$C$2:$C$100&amp;",",","&amp;LOWER(SUBSTITUTE(SUBSTITUTE($J18," ",""),CHAR(160),""))&amp;","))*(Verpleegkundigen!$C$2:$C$100&lt;&gt;LOWER(SUBSTITUTE(SUBSTITUTE($K18," ",""),CHAR(160),""))),Verpleegkundigen!$B$2:$B$100)+IF($K18&lt;&gt;"",1,0))</f>
        <v/>
      </c>
      <c r="G18" s="7" t="str">
        <f>IF(AND(C18&lt;&gt;"",D18&lt;&gt;"",C18&gt;D18),"+" &amp; TEXT(C18-D18,"0"),"")</f>
        <v/>
      </c>
      <c r="H18" s="8"/>
      <c r="I18" s="7">
        <f>IF($J18="",5,LEN($J18)-LEN(SUBSTITUTE($J18,",",""))+1)</f>
        <v>5</v>
      </c>
      <c r="J18" s="7"/>
      <c r="K18" s="7"/>
      <c r="L18" s="8"/>
    </row>
    <row r="19" spans="1:12" x14ac:dyDescent="0.25">
      <c r="A19" s="3" t="s">
        <v>100</v>
      </c>
      <c r="B19" s="4"/>
      <c r="C19" s="4"/>
      <c r="D19" s="4"/>
      <c r="E19" s="69"/>
      <c r="F19" s="72" t="str">
        <f>IF(AND($J19="",$K19=""),"",SUMPRODUCT(--ISNUMBER(SEARCH(","&amp;Verpleegkundigen!$C$2:$C$100&amp;",",","&amp;LOWER(SUBSTITUTE(SUBSTITUTE($J19," ",""),CHAR(160),""))&amp;","))*(Verpleegkundigen!$C$2:$C$100&lt;&gt;LOWER(SUBSTITUTE(SUBSTITUTE($K19," ",""),CHAR(160),""))),Verpleegkundigen!$B$2:$B$100)+IF($K19&lt;&gt;"",1,0))</f>
        <v/>
      </c>
      <c r="G19" s="4"/>
      <c r="H19" s="4"/>
      <c r="I19" s="5"/>
      <c r="J19" s="4"/>
      <c r="K19" s="4"/>
      <c r="L19" s="4"/>
    </row>
    <row r="20" spans="1:12" x14ac:dyDescent="0.25">
      <c r="A20" s="6">
        <v>46286</v>
      </c>
      <c r="B20" s="7" t="s">
        <v>10</v>
      </c>
      <c r="C20" s="7">
        <v>0</v>
      </c>
      <c r="D20" s="7" t="str">
        <f>IF(AND($J20="",$K20=""),"",SUMPRODUCT(--ISNUMBER(SEARCH(","&amp;Verpleegkundigen!$C$2:$C$100&amp;",",","&amp;LOWER(SUBSTITUTE(SUBSTITUTE($J20," ",""),CHAR(160),""))&amp;","))*(Verpleegkundigen!$C$2:$C$100&lt;&gt;LOWER(SUBSTITUTE(SUBSTITUTE($K20," ",""),CHAR(160),""))),Verpleegkundigen!$B$2:$B$100)+IF($K20&lt;&gt;"",1,0))</f>
        <v/>
      </c>
      <c r="E20" s="67">
        <f>IF(F20&gt;D20,1,IF(F20=D20,0,-1))</f>
        <v>0</v>
      </c>
      <c r="F20" s="92" t="str">
        <f>IF(AND($J20="",$K20=""),"",SUMPRODUCT(--ISNUMBER(SEARCH(","&amp;Verpleegkundigen!$C$2:$C$100&amp;",",","&amp;LOWER(SUBSTITUTE(SUBSTITUTE($J20," ",""),CHAR(160),""))&amp;","))*(Verpleegkundigen!$C$2:$C$100&lt;&gt;LOWER(SUBSTITUTE(SUBSTITUTE($K20," ",""),CHAR(160),""))),Verpleegkundigen!$B$2:$B$100)+IF($K20&lt;&gt;"",1,0))</f>
        <v/>
      </c>
      <c r="G20" s="7" t="str">
        <f>IF(AND(C20&lt;&gt;"",D20&lt;&gt;"",C20&gt;D20),"+" &amp; TEXT(C20-D20,"0"),"")</f>
        <v/>
      </c>
      <c r="H20" s="8"/>
      <c r="I20" s="7">
        <f>IF($J20="",5,LEN($J20)-LEN(SUBSTITUTE($J20,",",""))+1)</f>
        <v>5</v>
      </c>
      <c r="J20" s="7"/>
      <c r="K20" s="7"/>
      <c r="L20" s="8"/>
    </row>
    <row r="21" spans="1:12" x14ac:dyDescent="0.25">
      <c r="A21" s="9">
        <v>46287</v>
      </c>
      <c r="B21" s="10" t="s">
        <v>12</v>
      </c>
      <c r="C21" s="10">
        <v>0</v>
      </c>
      <c r="D21" s="10" t="str">
        <f>IF(AND($J21="",$K21=""),"",SUMPRODUCT(--ISNUMBER(SEARCH(","&amp;Verpleegkundigen!$C$2:$C$100&amp;",",","&amp;LOWER(SUBSTITUTE(SUBSTITUTE($J21," ",""),CHAR(160),""))&amp;","))*(Verpleegkundigen!$C$2:$C$100&lt;&gt;LOWER(SUBSTITUTE(SUBSTITUTE($K21," ",""),CHAR(160),""))),Verpleegkundigen!$B$2:$B$100)+IF($K21&lt;&gt;"",1,0))</f>
        <v/>
      </c>
      <c r="E21" s="64">
        <f>IF(F21&gt;D21,1,IF(F21=D21,0,-1))</f>
        <v>0</v>
      </c>
      <c r="F21" s="72" t="str">
        <f>IF(AND($J21="",$K21=""),"",SUMPRODUCT(--ISNUMBER(SEARCH(","&amp;Verpleegkundigen!$C$2:$C$100&amp;",",","&amp;LOWER(SUBSTITUTE(SUBSTITUTE($J21," ",""),CHAR(160),""))&amp;","))*(Verpleegkundigen!$C$2:$C$100&lt;&gt;LOWER(SUBSTITUTE(SUBSTITUTE($K21," ",""),CHAR(160),""))),Verpleegkundigen!$B$2:$B$100)+IF($K21&lt;&gt;"",1,0))</f>
        <v/>
      </c>
      <c r="G21" s="10" t="str">
        <f>IF(AND(C21&lt;&gt;"",D21&lt;&gt;"",C21&gt;D21),"+" &amp; TEXT(C21-D21,"0"),"")</f>
        <v/>
      </c>
      <c r="H21" s="4"/>
      <c r="I21" s="7">
        <f>IF($J21="",5,LEN($J21)-LEN(SUBSTITUTE($J21,",",""))+1)</f>
        <v>5</v>
      </c>
      <c r="J21" s="10"/>
      <c r="K21" s="10"/>
      <c r="L21" s="4"/>
    </row>
    <row r="22" spans="1:12" x14ac:dyDescent="0.25">
      <c r="A22" s="6">
        <v>46288</v>
      </c>
      <c r="B22" s="7" t="s">
        <v>14</v>
      </c>
      <c r="C22" s="7">
        <v>1</v>
      </c>
      <c r="D22" s="7" t="str">
        <f>IF(AND($J22="",$K22=""),"",SUMPRODUCT(--ISNUMBER(SEARCH(","&amp;Verpleegkundigen!$C$2:$C$100&amp;",",","&amp;LOWER(SUBSTITUTE(SUBSTITUTE($J22," ",""),CHAR(160),""))&amp;","))*(Verpleegkundigen!$C$2:$C$100&lt;&gt;LOWER(SUBSTITUTE(SUBSTITUTE($K22," ",""),CHAR(160),""))),Verpleegkundigen!$B$2:$B$100)+IF($K22&lt;&gt;"",1,0))</f>
        <v/>
      </c>
      <c r="E22" s="67">
        <f>IF(F22&gt;D22,1,IF(F22=D22,0,-1))</f>
        <v>0</v>
      </c>
      <c r="F22" s="92" t="str">
        <f>IF(AND($J22="",$K22=""),"",SUMPRODUCT(--ISNUMBER(SEARCH(","&amp;Verpleegkundigen!$C$2:$C$100&amp;",",","&amp;LOWER(SUBSTITUTE(SUBSTITUTE($J22," ",""),CHAR(160),""))&amp;","))*(Verpleegkundigen!$C$2:$C$100&lt;&gt;LOWER(SUBSTITUTE(SUBSTITUTE($K22," ",""),CHAR(160),""))),Verpleegkundigen!$B$2:$B$100)+IF($K22&lt;&gt;"",1,0))</f>
        <v/>
      </c>
      <c r="G22" s="7" t="str">
        <f>IF(AND(C22&lt;&gt;"",D22&lt;&gt;"",C22&gt;D22),"+" &amp; TEXT(C22-D22,"0"),"")</f>
        <v/>
      </c>
      <c r="H22" s="8"/>
      <c r="I22" s="7">
        <f>IF($J22="",5,LEN($J22)-LEN(SUBSTITUTE($J22,",",""))+1)</f>
        <v>5</v>
      </c>
      <c r="J22" s="7"/>
      <c r="K22" s="7"/>
      <c r="L22" s="8"/>
    </row>
    <row r="23" spans="1:12" x14ac:dyDescent="0.25">
      <c r="A23" s="9">
        <v>46289</v>
      </c>
      <c r="B23" s="10" t="s">
        <v>16</v>
      </c>
      <c r="C23" s="10">
        <v>0</v>
      </c>
      <c r="D23" s="10" t="str">
        <f>IF(AND($J23="",$K23=""),"",SUMPRODUCT(--ISNUMBER(SEARCH(","&amp;Verpleegkundigen!$C$2:$C$100&amp;",",","&amp;LOWER(SUBSTITUTE(SUBSTITUTE($J23," ",""),CHAR(160),""))&amp;","))*(Verpleegkundigen!$C$2:$C$100&lt;&gt;LOWER(SUBSTITUTE(SUBSTITUTE($K23," ",""),CHAR(160),""))),Verpleegkundigen!$B$2:$B$100)+IF($K23&lt;&gt;"",1,0))</f>
        <v/>
      </c>
      <c r="E23" s="64">
        <f>IF(F23&gt;D23,1,IF(F23=D23,0,-1))</f>
        <v>0</v>
      </c>
      <c r="F23" s="72" t="str">
        <f>IF(AND($J23="",$K23=""),"",SUMPRODUCT(--ISNUMBER(SEARCH(","&amp;Verpleegkundigen!$C$2:$C$100&amp;",",","&amp;LOWER(SUBSTITUTE(SUBSTITUTE($J23," ",""),CHAR(160),""))&amp;","))*(Verpleegkundigen!$C$2:$C$100&lt;&gt;LOWER(SUBSTITUTE(SUBSTITUTE($K23," ",""),CHAR(160),""))),Verpleegkundigen!$B$2:$B$100)+IF($K23&lt;&gt;"",1,0))</f>
        <v/>
      </c>
      <c r="G23" s="10" t="str">
        <f>IF(AND(C23&lt;&gt;"",D23&lt;&gt;"",C23&gt;D23),"+" &amp; TEXT(C23-D23,"0"),"")</f>
        <v/>
      </c>
      <c r="H23" s="4"/>
      <c r="I23" s="7">
        <f>IF($J23="",5,LEN($J23)-LEN(SUBSTITUTE($J23,",",""))+1)</f>
        <v>5</v>
      </c>
      <c r="J23" s="10"/>
      <c r="K23" s="10"/>
      <c r="L23" s="4"/>
    </row>
    <row r="24" spans="1:12" x14ac:dyDescent="0.25">
      <c r="A24" s="6">
        <v>46290</v>
      </c>
      <c r="B24" s="7" t="s">
        <v>18</v>
      </c>
      <c r="C24" s="7">
        <v>0</v>
      </c>
      <c r="D24" s="7" t="str">
        <f>IF(AND($J24="",$K24=""),"",SUMPRODUCT(--ISNUMBER(SEARCH(","&amp;Verpleegkundigen!$C$2:$C$100&amp;",",","&amp;LOWER(SUBSTITUTE(SUBSTITUTE($J24," ",""),CHAR(160),""))&amp;","))*(Verpleegkundigen!$C$2:$C$100&lt;&gt;LOWER(SUBSTITUTE(SUBSTITUTE($K24," ",""),CHAR(160),""))),Verpleegkundigen!$B$2:$B$100)+IF($K24&lt;&gt;"",1,0))</f>
        <v/>
      </c>
      <c r="E24" s="67">
        <f>IF(F24&gt;D24,1,IF(F24=D24,0,-1))</f>
        <v>0</v>
      </c>
      <c r="F24" s="92" t="str">
        <f>IF(AND($J24="",$K24=""),"",SUMPRODUCT(--ISNUMBER(SEARCH(","&amp;Verpleegkundigen!$C$2:$C$100&amp;",",","&amp;LOWER(SUBSTITUTE(SUBSTITUTE($J24," ",""),CHAR(160),""))&amp;","))*(Verpleegkundigen!$C$2:$C$100&lt;&gt;LOWER(SUBSTITUTE(SUBSTITUTE($K24," ",""),CHAR(160),""))),Verpleegkundigen!$B$2:$B$100)+IF($K24&lt;&gt;"",1,0))</f>
        <v/>
      </c>
      <c r="G24" s="7" t="str">
        <f>IF(AND(C24&lt;&gt;"",D24&lt;&gt;"",C24&gt;D24),"+" &amp; TEXT(C24-D24,"0"),"")</f>
        <v/>
      </c>
      <c r="H24" s="8"/>
      <c r="I24" s="7">
        <f>IF($J24="",5,LEN($J24)-LEN(SUBSTITUTE($J24,",",""))+1)</f>
        <v>5</v>
      </c>
      <c r="J24" s="7"/>
      <c r="K24" s="7"/>
      <c r="L24" s="8"/>
    </row>
    <row r="25" spans="1:12" x14ac:dyDescent="0.25">
      <c r="A25" s="3" t="s">
        <v>101</v>
      </c>
      <c r="B25" s="4"/>
      <c r="C25" s="4"/>
      <c r="D25" s="4"/>
      <c r="E25" s="64"/>
      <c r="F25" s="72" t="str">
        <f>IF(AND($J25="",$K25=""),"",SUMPRODUCT(--ISNUMBER(SEARCH(","&amp;Verpleegkundigen!$C$2:$C$100&amp;",",","&amp;LOWER(SUBSTITUTE(SUBSTITUTE($J25," ",""),CHAR(160),""))&amp;","))*(Verpleegkundigen!$C$2:$C$100&lt;&gt;LOWER(SUBSTITUTE(SUBSTITUTE($K25," ",""),CHAR(160),""))),Verpleegkundigen!$B$2:$B$100)+IF($K25&lt;&gt;"",1,0))</f>
        <v/>
      </c>
      <c r="G25" s="4"/>
      <c r="H25" s="4"/>
      <c r="I25" s="5"/>
      <c r="J25" s="4"/>
      <c r="K25" s="4"/>
      <c r="L25" s="4"/>
    </row>
    <row r="26" spans="1:12" x14ac:dyDescent="0.25">
      <c r="A26" s="6">
        <v>46293</v>
      </c>
      <c r="B26" s="7" t="s">
        <v>10</v>
      </c>
      <c r="C26" s="7">
        <v>0</v>
      </c>
      <c r="D26" s="7" t="str">
        <f>IF(AND($J26="",$K26=""),"",SUMPRODUCT(--ISNUMBER(SEARCH(","&amp;Verpleegkundigen!$C$2:$C$100&amp;",",","&amp;LOWER(SUBSTITUTE(SUBSTITUTE($J26," ",""),CHAR(160),""))&amp;","))*(Verpleegkundigen!$C$2:$C$100&lt;&gt;LOWER(SUBSTITUTE(SUBSTITUTE($K26," ",""),CHAR(160),""))),Verpleegkundigen!$B$2:$B$100)+IF($K26&lt;&gt;"",1,0))</f>
        <v/>
      </c>
      <c r="E26" s="67">
        <f>IF(F26&gt;D26,1,IF(F26=D26,0,-1))</f>
        <v>0</v>
      </c>
      <c r="F26" s="92" t="str">
        <f>IF(AND($J26="",$K26=""),"",SUMPRODUCT(--ISNUMBER(SEARCH(","&amp;Verpleegkundigen!$C$2:$C$100&amp;",",","&amp;LOWER(SUBSTITUTE(SUBSTITUTE($J26," ",""),CHAR(160),""))&amp;","))*(Verpleegkundigen!$C$2:$C$100&lt;&gt;LOWER(SUBSTITUTE(SUBSTITUTE($K26," ",""),CHAR(160),""))),Verpleegkundigen!$B$2:$B$100)+IF($K26&lt;&gt;"",1,0))</f>
        <v/>
      </c>
      <c r="G26" s="7" t="str">
        <f>IF(AND(C26&lt;&gt;"",D26&lt;&gt;"",C26&gt;D26),"+" &amp; TEXT(C26-D26,"0"),"")</f>
        <v/>
      </c>
      <c r="H26" s="8"/>
      <c r="I26" s="7">
        <f>IF($J26="",5,LEN($J26)-LEN(SUBSTITUTE($J26,",",""))+1)</f>
        <v>5</v>
      </c>
      <c r="J26" s="7"/>
      <c r="K26" s="7"/>
      <c r="L26" s="8"/>
    </row>
    <row r="27" spans="1:12" x14ac:dyDescent="0.25">
      <c r="A27" s="9">
        <v>46294</v>
      </c>
      <c r="B27" s="10" t="s">
        <v>12</v>
      </c>
      <c r="C27" s="10">
        <v>0</v>
      </c>
      <c r="D27" s="10" t="str">
        <f>IF(AND($J27="",$K27=""),"",SUMPRODUCT(--ISNUMBER(SEARCH(","&amp;Verpleegkundigen!$C$2:$C$100&amp;",",","&amp;LOWER(SUBSTITUTE(SUBSTITUTE($J27," ",""),CHAR(160),""))&amp;","))*(Verpleegkundigen!$C$2:$C$100&lt;&gt;LOWER(SUBSTITUTE(SUBSTITUTE($K27," ",""),CHAR(160),""))),Verpleegkundigen!$B$2:$B$100)+IF($K27&lt;&gt;"",1,0))</f>
        <v/>
      </c>
      <c r="E27" s="64">
        <f>IF(F27&gt;D27,1,IF(F27=D27,0,-1))</f>
        <v>0</v>
      </c>
      <c r="F27" s="72" t="str">
        <f>IF(AND($J27="",$K27=""),"",SUMPRODUCT(--ISNUMBER(SEARCH(","&amp;Verpleegkundigen!$C$2:$C$100&amp;",",","&amp;LOWER(SUBSTITUTE(SUBSTITUTE($J27," ",""),CHAR(160),""))&amp;","))*(Verpleegkundigen!$C$2:$C$100&lt;&gt;LOWER(SUBSTITUTE(SUBSTITUTE($K27," ",""),CHAR(160),""))),Verpleegkundigen!$B$2:$B$100)+IF($K27&lt;&gt;"",1,0))</f>
        <v/>
      </c>
      <c r="G27" s="10" t="str">
        <f>IF(AND(C27&lt;&gt;"",D27&lt;&gt;"",C27&gt;D27),"+" &amp; TEXT(C27-D27,"0"),"")</f>
        <v/>
      </c>
      <c r="H27" s="4"/>
      <c r="I27" s="7">
        <f>IF($J27="",5,LEN($J27)-LEN(SUBSTITUTE($J27,",",""))+1)</f>
        <v>5</v>
      </c>
      <c r="J27" s="10"/>
      <c r="K27" s="10"/>
      <c r="L27" s="4"/>
    </row>
    <row r="28" spans="1:12" x14ac:dyDescent="0.25">
      <c r="A28" s="43">
        <v>46295</v>
      </c>
      <c r="B28" s="13" t="s">
        <v>14</v>
      </c>
      <c r="C28" s="13">
        <v>0</v>
      </c>
      <c r="D28" s="13" t="str">
        <f>IF(AND($J28="",$K28=""),"",SUMPRODUCT(--ISNUMBER(SEARCH(","&amp;Verpleegkundigen!$C$2:$C$100&amp;",",","&amp;LOWER(SUBSTITUTE(SUBSTITUTE($J28," ",""),CHAR(160),""))&amp;","))*(Verpleegkundigen!$C$2:$C$100&lt;&gt;LOWER(SUBSTITUTE(SUBSTITUTE($K28," ",""),CHAR(160),""))),Verpleegkundigen!$B$2:$B$100)+IF($K28&lt;&gt;"",1,0))</f>
        <v/>
      </c>
      <c r="E28" s="67">
        <f>IF(F28&gt;D28,1,IF(F28=D28,0,-1))</f>
        <v>0</v>
      </c>
      <c r="F28" s="92" t="str">
        <f>IF(AND($J28="",$K28=""),"",SUMPRODUCT(--ISNUMBER(SEARCH(","&amp;Verpleegkundigen!$C$2:$C$100&amp;",",","&amp;LOWER(SUBSTITUTE(SUBSTITUTE($J28," ",""),CHAR(160),""))&amp;","))*(Verpleegkundigen!$C$2:$C$100&lt;&gt;LOWER(SUBSTITUTE(SUBSTITUTE($K28," ",""),CHAR(160),""))),Verpleegkundigen!$B$2:$B$100)+IF($K28&lt;&gt;"",1,0))</f>
        <v/>
      </c>
      <c r="G28" s="13" t="str">
        <f>IF(AND(C28&lt;&gt;"",D28&lt;&gt;"",C28&gt;D28),"+" &amp; TEXT(C28-D28,"0"),"")</f>
        <v/>
      </c>
      <c r="H28" s="30"/>
      <c r="I28" s="13">
        <f>IF($J28="",5,LEN($J28)-LEN(SUBSTITUTE($J28,",",""))+1)</f>
        <v>5</v>
      </c>
      <c r="J28" s="13"/>
      <c r="K28" s="13"/>
      <c r="L28" s="30"/>
    </row>
  </sheetData>
  <conditionalFormatting sqref="C3:C27">
    <cfRule type="expression" dxfId="71" priority="34">
      <formula>AND(ISNUMBER($C3),ISNUMBER($D3),$C3&lt;0.8*$D3)</formula>
    </cfRule>
    <cfRule type="expression" dxfId="70" priority="35">
      <formula>AND(ISNUMBER($C3),ISNUMBER($D3),$C3&gt;=0.8*$D3,$C3&lt;$D3)</formula>
    </cfRule>
    <cfRule type="expression" dxfId="69" priority="36">
      <formula>AND(ISNUMBER($C3),ISNUMBER($D3),$C3&gt;=$D3)</formula>
    </cfRule>
  </conditionalFormatting>
  <conditionalFormatting sqref="I3:I27">
    <cfRule type="expression" dxfId="68" priority="31">
      <formula>$I3=2</formula>
    </cfRule>
    <cfRule type="expression" dxfId="67" priority="32">
      <formula>OR($I3=3,$I3=4)</formula>
    </cfRule>
    <cfRule type="expression" dxfId="66" priority="33">
      <formula>$I3&gt;=5</formula>
    </cfRule>
  </conditionalFormatting>
  <conditionalFormatting sqref="C28">
    <cfRule type="expression" dxfId="65" priority="22">
      <formula>AND(ISNUMBER($C28),ISNUMBER($D28),$C28&lt;0.8*$D28)</formula>
    </cfRule>
    <cfRule type="expression" dxfId="64" priority="23">
      <formula>AND(ISNUMBER($C28),ISNUMBER($D28),$C28&gt;=0.8*$D28,$C28&lt;$D28)</formula>
    </cfRule>
    <cfRule type="expression" dxfId="63" priority="24">
      <formula>AND(ISNUMBER($C28),ISNUMBER($D28),$C28&gt;=$D28)</formula>
    </cfRule>
  </conditionalFormatting>
  <conditionalFormatting sqref="I28">
    <cfRule type="expression" dxfId="62" priority="19">
      <formula>$I28=2</formula>
    </cfRule>
    <cfRule type="expression" dxfId="61" priority="20">
      <formula>OR($I28=3,$I28=4)</formula>
    </cfRule>
    <cfRule type="expression" dxfId="60" priority="21">
      <formula>$I28&gt;=5</formula>
    </cfRule>
  </conditionalFormatting>
  <pageMargins left="0.75" right="0.75" top="1" bottom="1" header="0.5" footer="0.5"/>
  <ignoredErrors>
    <ignoredError sqref="E3:E12 E14:E18 E20:E24 E26:E28" formula="1"/>
  </ignoredErrors>
  <extLst>
    <ext xmlns:x14="http://schemas.microsoft.com/office/spreadsheetml/2009/9/main" uri="{78C0D931-6437-407d-A8EE-F0AAD7539E65}">
      <x14:conditionalFormattings>
        <x14:conditionalFormatting xmlns:xm="http://schemas.microsoft.com/office/excel/2006/main">
          <x14:cfRule type="iconSet" priority="18" id="{B6B9AAEF-CDB0-4018-8E3C-1D3BA4287A1B}">
            <x14:iconSet iconSet="3Triangles" showValue="0">
              <x14:cfvo type="percent">
                <xm:f>0</xm:f>
              </x14:cfvo>
              <x14:cfvo type="formula">
                <xm:f>0</xm:f>
              </x14:cfvo>
              <x14:cfvo type="formula">
                <xm:f>1</xm:f>
              </x14:cfvo>
            </x14:iconSet>
          </x14:cfRule>
          <xm:sqref>E3 E23 E17 E11 E5 E21 E15 E9 E7 E13 E19 E25</xm:sqref>
        </x14:conditionalFormatting>
        <x14:conditionalFormatting xmlns:xm="http://schemas.microsoft.com/office/excel/2006/main">
          <x14:cfRule type="iconSet" priority="17" id="{366D0D27-D9BC-4742-8D7F-A2B5651EE752}">
            <x14:iconSet iconSet="3Triangles" showValue="0">
              <x14:cfvo type="percent">
                <xm:f>0</xm:f>
              </x14:cfvo>
              <x14:cfvo type="formula">
                <xm:f>0</xm:f>
              </x14:cfvo>
              <x14:cfvo type="formula">
                <xm:f>1</xm:f>
              </x14:cfvo>
            </x14:iconSet>
          </x14:cfRule>
          <xm:sqref>E27</xm:sqref>
        </x14:conditionalFormatting>
        <x14:conditionalFormatting xmlns:xm="http://schemas.microsoft.com/office/excel/2006/main">
          <x14:cfRule type="iconSet" priority="16" id="{E21000AF-ACE9-40FF-B0C4-52452A0972F6}">
            <x14:iconSet iconSet="3Triangles" showValue="0">
              <x14:cfvo type="percent">
                <xm:f>0</xm:f>
              </x14:cfvo>
              <x14:cfvo type="formula">
                <xm:f>0</xm:f>
              </x14:cfvo>
              <x14:cfvo type="formula">
                <xm:f>1</xm:f>
              </x14:cfvo>
            </x14:iconSet>
          </x14:cfRule>
          <xm:sqref>E22</xm:sqref>
        </x14:conditionalFormatting>
        <x14:conditionalFormatting xmlns:xm="http://schemas.microsoft.com/office/excel/2006/main">
          <x14:cfRule type="iconSet" priority="15" id="{E708A854-D95C-4A71-BBB3-00CCEC43B890}">
            <x14:iconSet iconSet="3Triangles" showValue="0">
              <x14:cfvo type="percent">
                <xm:f>0</xm:f>
              </x14:cfvo>
              <x14:cfvo type="formula">
                <xm:f>0</xm:f>
              </x14:cfvo>
              <x14:cfvo type="formula">
                <xm:f>1</xm:f>
              </x14:cfvo>
            </x14:iconSet>
          </x14:cfRule>
          <xm:sqref>E16</xm:sqref>
        </x14:conditionalFormatting>
        <x14:conditionalFormatting xmlns:xm="http://schemas.microsoft.com/office/excel/2006/main">
          <x14:cfRule type="iconSet" priority="14" id="{C15044EE-D7E3-4657-AD89-0E487CC12B16}">
            <x14:iconSet iconSet="3Triangles" showValue="0">
              <x14:cfvo type="percent">
                <xm:f>0</xm:f>
              </x14:cfvo>
              <x14:cfvo type="formula">
                <xm:f>0</xm:f>
              </x14:cfvo>
              <x14:cfvo type="formula">
                <xm:f>1</xm:f>
              </x14:cfvo>
            </x14:iconSet>
          </x14:cfRule>
          <xm:sqref>E10</xm:sqref>
        </x14:conditionalFormatting>
        <x14:conditionalFormatting xmlns:xm="http://schemas.microsoft.com/office/excel/2006/main">
          <x14:cfRule type="iconSet" priority="13" id="{0FA5D47A-9F45-4315-83BF-9E06BD098BA7}">
            <x14:iconSet iconSet="3Triangles" showValue="0">
              <x14:cfvo type="percent">
                <xm:f>0</xm:f>
              </x14:cfvo>
              <x14:cfvo type="formula">
                <xm:f>0</xm:f>
              </x14:cfvo>
              <x14:cfvo type="formula">
                <xm:f>1</xm:f>
              </x14:cfvo>
            </x14:iconSet>
          </x14:cfRule>
          <xm:sqref>E4</xm:sqref>
        </x14:conditionalFormatting>
        <x14:conditionalFormatting xmlns:xm="http://schemas.microsoft.com/office/excel/2006/main">
          <x14:cfRule type="iconSet" priority="9" id="{F92CC9A5-5259-4C26-95B9-FD0CD8423D55}">
            <x14:iconSet iconSet="3Triangles" showValue="0">
              <x14:cfvo type="percent">
                <xm:f>0</xm:f>
              </x14:cfvo>
              <x14:cfvo type="formula">
                <xm:f>0</xm:f>
              </x14:cfvo>
              <x14:cfvo type="formula">
                <xm:f>1</xm:f>
              </x14:cfvo>
            </x14:iconSet>
          </x14:cfRule>
          <xm:sqref>E8</xm:sqref>
        </x14:conditionalFormatting>
        <x14:conditionalFormatting xmlns:xm="http://schemas.microsoft.com/office/excel/2006/main">
          <x14:cfRule type="iconSet" priority="8" id="{AECC4AF2-DAFE-471D-89D0-76C8E7FDE6BE}">
            <x14:iconSet iconSet="3Triangles" showValue="0">
              <x14:cfvo type="percent">
                <xm:f>0</xm:f>
              </x14:cfvo>
              <x14:cfvo type="formula">
                <xm:f>0</xm:f>
              </x14:cfvo>
              <x14:cfvo type="formula">
                <xm:f>1</xm:f>
              </x14:cfvo>
            </x14:iconSet>
          </x14:cfRule>
          <xm:sqref>E6</xm:sqref>
        </x14:conditionalFormatting>
        <x14:conditionalFormatting xmlns:xm="http://schemas.microsoft.com/office/excel/2006/main">
          <x14:cfRule type="iconSet" priority="7" id="{8954CD4B-58E3-434E-9DCA-D4F9010F9DD0}">
            <x14:iconSet iconSet="3Triangles" showValue="0">
              <x14:cfvo type="percent">
                <xm:f>0</xm:f>
              </x14:cfvo>
              <x14:cfvo type="formula">
                <xm:f>0</xm:f>
              </x14:cfvo>
              <x14:cfvo type="formula">
                <xm:f>1</xm:f>
              </x14:cfvo>
            </x14:iconSet>
          </x14:cfRule>
          <xm:sqref>E12</xm:sqref>
        </x14:conditionalFormatting>
        <x14:conditionalFormatting xmlns:xm="http://schemas.microsoft.com/office/excel/2006/main">
          <x14:cfRule type="iconSet" priority="6" id="{B6C939D0-6FB9-4C3D-B5AA-B127B5D84547}">
            <x14:iconSet iconSet="3Triangles" showValue="0">
              <x14:cfvo type="percent">
                <xm:f>0</xm:f>
              </x14:cfvo>
              <x14:cfvo type="formula">
                <xm:f>0</xm:f>
              </x14:cfvo>
              <x14:cfvo type="formula">
                <xm:f>1</xm:f>
              </x14:cfvo>
            </x14:iconSet>
          </x14:cfRule>
          <xm:sqref>E18</xm:sqref>
        </x14:conditionalFormatting>
        <x14:conditionalFormatting xmlns:xm="http://schemas.microsoft.com/office/excel/2006/main">
          <x14:cfRule type="iconSet" priority="5" id="{B101D17F-A873-479B-9123-5DF5FB06BD78}">
            <x14:iconSet iconSet="3Triangles" showValue="0">
              <x14:cfvo type="percent">
                <xm:f>0</xm:f>
              </x14:cfvo>
              <x14:cfvo type="formula">
                <xm:f>0</xm:f>
              </x14:cfvo>
              <x14:cfvo type="formula">
                <xm:f>1</xm:f>
              </x14:cfvo>
            </x14:iconSet>
          </x14:cfRule>
          <xm:sqref>E24</xm:sqref>
        </x14:conditionalFormatting>
        <x14:conditionalFormatting xmlns:xm="http://schemas.microsoft.com/office/excel/2006/main">
          <x14:cfRule type="iconSet" priority="4" id="{A59C8DF9-BA45-4576-A787-0C92147474B3}">
            <x14:iconSet iconSet="3Triangles" showValue="0">
              <x14:cfvo type="percent">
                <xm:f>0</xm:f>
              </x14:cfvo>
              <x14:cfvo type="formula">
                <xm:f>0</xm:f>
              </x14:cfvo>
              <x14:cfvo type="formula">
                <xm:f>1</xm:f>
              </x14:cfvo>
            </x14:iconSet>
          </x14:cfRule>
          <xm:sqref>E14</xm:sqref>
        </x14:conditionalFormatting>
        <x14:conditionalFormatting xmlns:xm="http://schemas.microsoft.com/office/excel/2006/main">
          <x14:cfRule type="iconSet" priority="3" id="{1FA898BE-3425-4757-B4C3-35CB3217FD8A}">
            <x14:iconSet iconSet="3Triangles" showValue="0">
              <x14:cfvo type="percent">
                <xm:f>0</xm:f>
              </x14:cfvo>
              <x14:cfvo type="formula">
                <xm:f>0</xm:f>
              </x14:cfvo>
              <x14:cfvo type="formula">
                <xm:f>1</xm:f>
              </x14:cfvo>
            </x14:iconSet>
          </x14:cfRule>
          <xm:sqref>E20</xm:sqref>
        </x14:conditionalFormatting>
        <x14:conditionalFormatting xmlns:xm="http://schemas.microsoft.com/office/excel/2006/main">
          <x14:cfRule type="iconSet" priority="2" id="{47C3FB42-1032-4663-A879-A93164536558}">
            <x14:iconSet iconSet="3Triangles" showValue="0">
              <x14:cfvo type="percent">
                <xm:f>0</xm:f>
              </x14:cfvo>
              <x14:cfvo type="formula">
                <xm:f>0</xm:f>
              </x14:cfvo>
              <x14:cfvo type="formula">
                <xm:f>1</xm:f>
              </x14:cfvo>
            </x14:iconSet>
          </x14:cfRule>
          <xm:sqref>E26</xm:sqref>
        </x14:conditionalFormatting>
        <x14:conditionalFormatting xmlns:xm="http://schemas.microsoft.com/office/excel/2006/main">
          <x14:cfRule type="iconSet" priority="1" id="{4D01C42F-1BE2-420D-8B36-F375FF5D391B}">
            <x14:iconSet iconSet="3Triangles" showValue="0">
              <x14:cfvo type="percent">
                <xm:f>0</xm:f>
              </x14:cfvo>
              <x14:cfvo type="formula">
                <xm:f>0</xm:f>
              </x14:cfvo>
              <x14:cfvo type="formula">
                <xm:f>1</xm:f>
              </x14:cfvo>
            </x14:iconSet>
          </x14:cfRule>
          <xm:sqref>E28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E3" sqref="E3:E28"/>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3.85546875"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7109375" bestFit="1" customWidth="1"/>
  </cols>
  <sheetData>
    <row r="1" spans="1:12" x14ac:dyDescent="0.25">
      <c r="A1" s="1" t="s">
        <v>0</v>
      </c>
      <c r="B1" s="1" t="s">
        <v>1</v>
      </c>
      <c r="C1" s="1" t="s">
        <v>2</v>
      </c>
      <c r="D1" s="1" t="s">
        <v>145</v>
      </c>
      <c r="E1" s="1"/>
      <c r="F1" s="1" t="s">
        <v>147</v>
      </c>
      <c r="G1" s="1" t="s">
        <v>4</v>
      </c>
      <c r="H1" s="1" t="s">
        <v>5</v>
      </c>
      <c r="I1" s="1" t="s">
        <v>6</v>
      </c>
      <c r="J1" s="1" t="s">
        <v>7</v>
      </c>
      <c r="K1" s="1" t="s">
        <v>8</v>
      </c>
      <c r="L1" s="1" t="s">
        <v>148</v>
      </c>
    </row>
    <row r="2" spans="1:12" x14ac:dyDescent="0.25">
      <c r="A2" s="3" t="s">
        <v>101</v>
      </c>
      <c r="B2" s="4"/>
      <c r="C2" s="4"/>
      <c r="D2" s="4"/>
      <c r="E2" s="4"/>
      <c r="F2" s="4"/>
      <c r="G2" s="4"/>
      <c r="H2" s="4"/>
      <c r="I2" s="5"/>
      <c r="J2" s="4"/>
      <c r="K2" s="4"/>
      <c r="L2" s="4"/>
    </row>
    <row r="3" spans="1:12" x14ac:dyDescent="0.25">
      <c r="A3" s="6">
        <v>46296</v>
      </c>
      <c r="B3" s="7" t="s">
        <v>16</v>
      </c>
      <c r="C3" s="7">
        <v>5</v>
      </c>
      <c r="D3" s="7" t="str">
        <f>IF(AND($J3="",$K3=""),"",SUMPRODUCT(--ISNUMBER(SEARCH(","&amp;Verpleegkundigen!$C$2:$C$100&amp;",",","&amp;LOWER(SUBSTITUTE(SUBSTITUTE($J3," ",""),CHAR(160),""))&amp;","))*(Verpleegkundigen!$C$2:$C$100&lt;&gt;LOWER(SUBSTITUTE(SUBSTITUTE($K3," ",""),CHAR(160),""))),Verpleegkundigen!$B$2:$B$100)+IF($K3&lt;&gt;"",1,0))</f>
        <v/>
      </c>
      <c r="E3" s="63">
        <f>IF(F3&gt;D3,1,IF(F3=D3,0,-1))</f>
        <v>0</v>
      </c>
      <c r="F3" s="92"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46297</v>
      </c>
      <c r="B4" s="10" t="s">
        <v>18</v>
      </c>
      <c r="C4" s="10">
        <v>5</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3" t="s">
        <v>102</v>
      </c>
      <c r="B5" s="4"/>
      <c r="C5" s="4"/>
      <c r="D5" s="4"/>
      <c r="E5" s="64"/>
      <c r="F5" s="72" t="str">
        <f>IF(AND($J5="",$K5=""),"",SUMPRODUCT(--ISNUMBER(SEARCH(","&amp;Verpleegkundigen!$C$2:$C$100&amp;",",","&amp;LOWER(SUBSTITUTE(SUBSTITUTE($J5," ",""),CHAR(160),""))&amp;","))*(Verpleegkundigen!$C$2:$C$100&lt;&gt;LOWER(SUBSTITUTE(SUBSTITUTE($K5," ",""),CHAR(160),""))),Verpleegkundigen!$B$2:$B$100)+IF($K5&lt;&gt;"",1,0))</f>
        <v/>
      </c>
      <c r="G5" s="4"/>
      <c r="H5" s="4"/>
      <c r="I5" s="5"/>
      <c r="J5" s="4"/>
      <c r="K5" s="4"/>
      <c r="L5" s="4"/>
    </row>
    <row r="6" spans="1:12" x14ac:dyDescent="0.25">
      <c r="A6" s="6">
        <v>46300</v>
      </c>
      <c r="B6" s="7" t="s">
        <v>10</v>
      </c>
      <c r="C6" s="7">
        <v>13</v>
      </c>
      <c r="D6" s="7" t="str">
        <f>IF(AND($J6="",$K6=""),"",SUMPRODUCT(--ISNUMBER(SEARCH(","&amp;Verpleegkundigen!$C$2:$C$100&amp;",",","&amp;LOWER(SUBSTITUTE(SUBSTITUTE($J6," ",""),CHAR(160),""))&amp;","))*(Verpleegkundigen!$C$2:$C$100&lt;&gt;LOWER(SUBSTITUTE(SUBSTITUTE($K6," ",""),CHAR(160),""))),Verpleegkundigen!$B$2:$B$100)+IF($K6&lt;&gt;"",1,0))</f>
        <v/>
      </c>
      <c r="E6" s="67">
        <f>IF(F6&gt;D6,1,IF(F6=D6,0,-1))</f>
        <v>0</v>
      </c>
      <c r="F6" s="92" t="str">
        <f>IF(AND($J6="",$K6=""),"",SUMPRODUCT(--ISNUMBER(SEARCH(","&amp;Verpleegkundigen!$C$2:$C$100&amp;",",","&amp;LOWER(SUBSTITUTE(SUBSTITUTE($J6," ",""),CHAR(160),""))&amp;","))*(Verpleegkundigen!$C$2:$C$100&lt;&gt;LOWER(SUBSTITUTE(SUBSTITUTE($K6," ",""),CHAR(160),""))),Verpleegkundigen!$B$2:$B$100)+IF($K6&lt;&gt;"",1,0))</f>
        <v/>
      </c>
      <c r="G6" s="7" t="str">
        <f>IF(AND(C6&lt;&gt;"",D6&lt;&gt;"",C6&gt;D6),"+" &amp; TEXT(C6-D6,"0"),"")</f>
        <v/>
      </c>
      <c r="H6" s="8"/>
      <c r="I6" s="7">
        <f>IF($J6="",5,LEN($J6)-LEN(SUBSTITUTE($J6,",",""))+1)</f>
        <v>5</v>
      </c>
      <c r="J6" s="7"/>
      <c r="K6" s="7"/>
      <c r="L6" s="8"/>
    </row>
    <row r="7" spans="1:12" x14ac:dyDescent="0.25">
      <c r="A7" s="9">
        <v>46301</v>
      </c>
      <c r="B7" s="10" t="s">
        <v>12</v>
      </c>
      <c r="C7" s="10">
        <v>7</v>
      </c>
      <c r="D7" s="10" t="str">
        <f>IF(AND($J7="",$K7=""),"",SUMPRODUCT(--ISNUMBER(SEARCH(","&amp;Verpleegkundigen!$C$2:$C$100&amp;",",","&amp;LOWER(SUBSTITUTE(SUBSTITUTE($J7," ",""),CHAR(160),""))&amp;","))*(Verpleegkundigen!$C$2:$C$100&lt;&gt;LOWER(SUBSTITUTE(SUBSTITUTE($K7," ",""),CHAR(160),""))),Verpleegkundigen!$B$2:$B$100)+IF($K7&lt;&gt;"",1,0))</f>
        <v/>
      </c>
      <c r="E7" s="64">
        <f>IF(F7&gt;D7,1,IF(F7=D7,0,-1))</f>
        <v>0</v>
      </c>
      <c r="F7" s="72" t="str">
        <f>IF(AND($J7="",$K7=""),"",SUMPRODUCT(--ISNUMBER(SEARCH(","&amp;Verpleegkundigen!$C$2:$C$100&amp;",",","&amp;LOWER(SUBSTITUTE(SUBSTITUTE($J7," ",""),CHAR(160),""))&amp;","))*(Verpleegkundigen!$C$2:$C$100&lt;&gt;LOWER(SUBSTITUTE(SUBSTITUTE($K7," ",""),CHAR(160),""))),Verpleegkundigen!$B$2:$B$100)+IF($K7&lt;&gt;"",1,0))</f>
        <v/>
      </c>
      <c r="G7" s="10" t="str">
        <f>IF(AND(C7&lt;&gt;"",D7&lt;&gt;"",C7&gt;D7),"+" &amp; TEXT(C7-D7,"0"),"")</f>
        <v/>
      </c>
      <c r="H7" s="4"/>
      <c r="I7" s="7">
        <f>IF($J7="",5,LEN($J7)-LEN(SUBSTITUTE($J7,",",""))+1)</f>
        <v>5</v>
      </c>
      <c r="J7" s="10"/>
      <c r="K7" s="10"/>
      <c r="L7" s="4"/>
    </row>
    <row r="8" spans="1:12" x14ac:dyDescent="0.25">
      <c r="A8" s="6">
        <v>46302</v>
      </c>
      <c r="B8" s="7" t="s">
        <v>14</v>
      </c>
      <c r="C8" s="7">
        <v>9</v>
      </c>
      <c r="D8" s="7" t="str">
        <f>IF(AND($J8="",$K8=""),"",SUMPRODUCT(--ISNUMBER(SEARCH(","&amp;Verpleegkundigen!$C$2:$C$100&amp;",",","&amp;LOWER(SUBSTITUTE(SUBSTITUTE($J8," ",""),CHAR(160),""))&amp;","))*(Verpleegkundigen!$C$2:$C$100&lt;&gt;LOWER(SUBSTITUTE(SUBSTITUTE($K8," ",""),CHAR(160),""))),Verpleegkundigen!$B$2:$B$100)+IF($K8&lt;&gt;"",1,0))</f>
        <v/>
      </c>
      <c r="E8" s="67">
        <f>IF(F8&gt;D8,1,IF(F8=D8,0,-1))</f>
        <v>0</v>
      </c>
      <c r="F8" s="92" t="str">
        <f>IF(AND($J8="",$K8=""),"",SUMPRODUCT(--ISNUMBER(SEARCH(","&amp;Verpleegkundigen!$C$2:$C$100&amp;",",","&amp;LOWER(SUBSTITUTE(SUBSTITUTE($J8," ",""),CHAR(160),""))&amp;","))*(Verpleegkundigen!$C$2:$C$100&lt;&gt;LOWER(SUBSTITUTE(SUBSTITUTE($K8," ",""),CHAR(160),""))),Verpleegkundigen!$B$2:$B$100)+IF($K8&lt;&gt;"",1,0))</f>
        <v/>
      </c>
      <c r="G8" s="7" t="str">
        <f>IF(AND(C8&lt;&gt;"",D8&lt;&gt;"",C8&gt;D8),"+" &amp; TEXT(C8-D8,"0"),"")</f>
        <v/>
      </c>
      <c r="H8" s="8"/>
      <c r="I8" s="7">
        <f>IF($J8="",5,LEN($J8)-LEN(SUBSTITUTE($J8,",",""))+1)</f>
        <v>5</v>
      </c>
      <c r="J8" s="7"/>
      <c r="K8" s="7"/>
      <c r="L8" s="8"/>
    </row>
    <row r="9" spans="1:12" x14ac:dyDescent="0.25">
      <c r="A9" s="9">
        <v>46303</v>
      </c>
      <c r="B9" s="10" t="s">
        <v>16</v>
      </c>
      <c r="C9" s="10">
        <v>5</v>
      </c>
      <c r="D9" s="10" t="str">
        <f>IF(AND($J9="",$K9=""),"",SUMPRODUCT(--ISNUMBER(SEARCH(","&amp;Verpleegkundigen!$C$2:$C$100&amp;",",","&amp;LOWER(SUBSTITUTE(SUBSTITUTE($J9," ",""),CHAR(160),""))&amp;","))*(Verpleegkundigen!$C$2:$C$100&lt;&gt;LOWER(SUBSTITUTE(SUBSTITUTE($K9," ",""),CHAR(160),""))),Verpleegkundigen!$B$2:$B$100)+IF($K9&lt;&gt;"",1,0))</f>
        <v/>
      </c>
      <c r="E9" s="69">
        <f>IF(F9&gt;D9,1,IF(F9=D9,0,-1))</f>
        <v>0</v>
      </c>
      <c r="F9" s="72" t="str">
        <f>IF(AND($J9="",$K9=""),"",SUMPRODUCT(--ISNUMBER(SEARCH(","&amp;Verpleegkundigen!$C$2:$C$100&amp;",",","&amp;LOWER(SUBSTITUTE(SUBSTITUTE($J9," ",""),CHAR(160),""))&amp;","))*(Verpleegkundigen!$C$2:$C$100&lt;&gt;LOWER(SUBSTITUTE(SUBSTITUTE($K9," ",""),CHAR(160),""))),Verpleegkundigen!$B$2:$B$100)+IF($K9&lt;&gt;"",1,0))</f>
        <v/>
      </c>
      <c r="G9" s="10" t="str">
        <f>IF(AND(C9&lt;&gt;"",D9&lt;&gt;"",C9&gt;D9),"+" &amp; TEXT(C9-D9,"0"),"")</f>
        <v/>
      </c>
      <c r="H9" s="4"/>
      <c r="I9" s="7">
        <f>IF($J9="",5,LEN($J9)-LEN(SUBSTITUTE($J9,",",""))+1)</f>
        <v>5</v>
      </c>
      <c r="J9" s="10"/>
      <c r="K9" s="10"/>
      <c r="L9" s="4"/>
    </row>
    <row r="10" spans="1:12" x14ac:dyDescent="0.25">
      <c r="A10" s="6">
        <v>46304</v>
      </c>
      <c r="B10" s="7" t="s">
        <v>18</v>
      </c>
      <c r="C10" s="7">
        <v>13</v>
      </c>
      <c r="D10" s="7" t="str">
        <f>IF(AND($J10="",$K10=""),"",SUMPRODUCT(--ISNUMBER(SEARCH(","&amp;Verpleegkundigen!$C$2:$C$100&amp;",",","&amp;LOWER(SUBSTITUTE(SUBSTITUTE($J10," ",""),CHAR(160),""))&amp;","))*(Verpleegkundigen!$C$2:$C$100&lt;&gt;LOWER(SUBSTITUTE(SUBSTITUTE($K10," ",""),CHAR(160),""))),Verpleegkundigen!$B$2:$B$100)+IF($K10&lt;&gt;"",1,0))</f>
        <v/>
      </c>
      <c r="E10" s="67">
        <f>IF(F10&gt;D10,1,IF(F10=D10,0,-1))</f>
        <v>0</v>
      </c>
      <c r="F10" s="92" t="str">
        <f>IF(AND($J10="",$K10=""),"",SUMPRODUCT(--ISNUMBER(SEARCH(","&amp;Verpleegkundigen!$C$2:$C$100&amp;",",","&amp;LOWER(SUBSTITUTE(SUBSTITUTE($J10," ",""),CHAR(160),""))&amp;","))*(Verpleegkundigen!$C$2:$C$100&lt;&gt;LOWER(SUBSTITUTE(SUBSTITUTE($K10," ",""),CHAR(160),""))),Verpleegkundigen!$B$2:$B$100)+IF($K10&lt;&gt;"",1,0))</f>
        <v/>
      </c>
      <c r="G10" s="7" t="str">
        <f>IF(AND(C10&lt;&gt;"",D10&lt;&gt;"",C10&gt;D10),"+" &amp; TEXT(C10-D10,"0"),"")</f>
        <v/>
      </c>
      <c r="H10" s="8"/>
      <c r="I10" s="7">
        <f>IF($J10="",5,LEN($J10)-LEN(SUBSTITUTE($J10,",",""))+1)</f>
        <v>5</v>
      </c>
      <c r="J10" s="7"/>
      <c r="K10" s="7"/>
      <c r="L10" s="8"/>
    </row>
    <row r="11" spans="1:12" x14ac:dyDescent="0.25">
      <c r="A11" s="3" t="s">
        <v>103</v>
      </c>
      <c r="B11" s="4"/>
      <c r="C11" s="4"/>
      <c r="D11" s="4"/>
      <c r="E11" s="64"/>
      <c r="F11" s="72" t="str">
        <f>IF(AND($J11="",$K11=""),"",SUMPRODUCT(--ISNUMBER(SEARCH(","&amp;Verpleegkundigen!$C$2:$C$100&amp;",",","&amp;LOWER(SUBSTITUTE(SUBSTITUTE($J11," ",""),CHAR(160),""))&amp;","))*(Verpleegkundigen!$C$2:$C$100&lt;&gt;LOWER(SUBSTITUTE(SUBSTITUTE($K11," ",""),CHAR(160),""))),Verpleegkundigen!$B$2:$B$100)+IF($K11&lt;&gt;"",1,0))</f>
        <v/>
      </c>
      <c r="G11" s="4"/>
      <c r="H11" s="4"/>
      <c r="I11" s="5"/>
      <c r="J11" s="4"/>
      <c r="K11" s="4"/>
      <c r="L11" s="4"/>
    </row>
    <row r="12" spans="1:12" x14ac:dyDescent="0.25">
      <c r="A12" s="6">
        <v>46307</v>
      </c>
      <c r="B12" s="7" t="s">
        <v>10</v>
      </c>
      <c r="C12" s="7">
        <v>6</v>
      </c>
      <c r="D12" s="7" t="str">
        <f>IF(AND($J12="",$K12=""),"",SUMPRODUCT(--ISNUMBER(SEARCH(","&amp;Verpleegkundigen!$C$2:$C$100&amp;",",","&amp;LOWER(SUBSTITUTE(SUBSTITUTE($J12," ",""),CHAR(160),""))&amp;","))*(Verpleegkundigen!$C$2:$C$100&lt;&gt;LOWER(SUBSTITUTE(SUBSTITUTE($K12," ",""),CHAR(160),""))),Verpleegkundigen!$B$2:$B$100)+IF($K12&lt;&gt;"",1,0))</f>
        <v/>
      </c>
      <c r="E12" s="67">
        <f>IF(F12&gt;D12,1,IF(F12=D12,0,-1))</f>
        <v>0</v>
      </c>
      <c r="F12" s="92" t="str">
        <f>IF(AND($J12="",$K12=""),"",SUMPRODUCT(--ISNUMBER(SEARCH(","&amp;Verpleegkundigen!$C$2:$C$100&amp;",",","&amp;LOWER(SUBSTITUTE(SUBSTITUTE($J12," ",""),CHAR(160),""))&amp;","))*(Verpleegkundigen!$C$2:$C$100&lt;&gt;LOWER(SUBSTITUTE(SUBSTITUTE($K12," ",""),CHAR(160),""))),Verpleegkundigen!$B$2:$B$100)+IF($K12&lt;&gt;"",1,0))</f>
        <v/>
      </c>
      <c r="G12" s="7" t="str">
        <f>IF(AND(C12&lt;&gt;"",D12&lt;&gt;"",C12&gt;D12),"+" &amp; TEXT(C12-D12,"0"),"")</f>
        <v/>
      </c>
      <c r="H12" s="8"/>
      <c r="I12" s="7">
        <f>IF($J12="",5,LEN($J12)-LEN(SUBSTITUTE($J12,",",""))+1)</f>
        <v>5</v>
      </c>
      <c r="J12" s="7"/>
      <c r="K12" s="7"/>
      <c r="L12" s="8"/>
    </row>
    <row r="13" spans="1:12" x14ac:dyDescent="0.25">
      <c r="A13" s="9">
        <v>46308</v>
      </c>
      <c r="B13" s="10" t="s">
        <v>12</v>
      </c>
      <c r="C13" s="10">
        <v>1</v>
      </c>
      <c r="D13" s="10" t="str">
        <f>IF(AND($J13="",$K13=""),"",SUMPRODUCT(--ISNUMBER(SEARCH(","&amp;Verpleegkundigen!$C$2:$C$100&amp;",",","&amp;LOWER(SUBSTITUTE(SUBSTITUTE($J13," ",""),CHAR(160),""))&amp;","))*(Verpleegkundigen!$C$2:$C$100&lt;&gt;LOWER(SUBSTITUTE(SUBSTITUTE($K13," ",""),CHAR(160),""))),Verpleegkundigen!$B$2:$B$100)+IF($K13&lt;&gt;"",1,0))</f>
        <v/>
      </c>
      <c r="E13" s="64">
        <f>IF(F13&gt;D13,1,IF(F13=D13,0,-1))</f>
        <v>0</v>
      </c>
      <c r="F13" s="72" t="str">
        <f>IF(AND($J13="",$K13=""),"",SUMPRODUCT(--ISNUMBER(SEARCH(","&amp;Verpleegkundigen!$C$2:$C$100&amp;",",","&amp;LOWER(SUBSTITUTE(SUBSTITUTE($J13," ",""),CHAR(160),""))&amp;","))*(Verpleegkundigen!$C$2:$C$100&lt;&gt;LOWER(SUBSTITUTE(SUBSTITUTE($K13," ",""),CHAR(160),""))),Verpleegkundigen!$B$2:$B$100)+IF($K13&lt;&gt;"",1,0))</f>
        <v/>
      </c>
      <c r="G13" s="10" t="str">
        <f>IF(AND(C13&lt;&gt;"",D13&lt;&gt;"",C13&gt;D13),"+" &amp; TEXT(C13-D13,"0"),"")</f>
        <v/>
      </c>
      <c r="H13" s="4"/>
      <c r="I13" s="7">
        <f>IF($J13="",5,LEN($J13)-LEN(SUBSTITUTE($J13,",",""))+1)</f>
        <v>5</v>
      </c>
      <c r="J13" s="10"/>
      <c r="K13" s="10"/>
      <c r="L13" s="4"/>
    </row>
    <row r="14" spans="1:12" x14ac:dyDescent="0.25">
      <c r="A14" s="6">
        <v>46309</v>
      </c>
      <c r="B14" s="7" t="s">
        <v>14</v>
      </c>
      <c r="C14" s="7">
        <v>1</v>
      </c>
      <c r="D14" s="7" t="str">
        <f>IF(AND($J14="",$K14=""),"",SUMPRODUCT(--ISNUMBER(SEARCH(","&amp;Verpleegkundigen!$C$2:$C$100&amp;",",","&amp;LOWER(SUBSTITUTE(SUBSTITUTE($J14," ",""),CHAR(160),""))&amp;","))*(Verpleegkundigen!$C$2:$C$100&lt;&gt;LOWER(SUBSTITUTE(SUBSTITUTE($K14," ",""),CHAR(160),""))),Verpleegkundigen!$B$2:$B$100)+IF($K14&lt;&gt;"",1,0))</f>
        <v/>
      </c>
      <c r="E14" s="67">
        <f>IF(F14&gt;D14,1,IF(F14=D14,0,-1))</f>
        <v>0</v>
      </c>
      <c r="F14" s="92" t="str">
        <f>IF(AND($J14="",$K14=""),"",SUMPRODUCT(--ISNUMBER(SEARCH(","&amp;Verpleegkundigen!$C$2:$C$100&amp;",",","&amp;LOWER(SUBSTITUTE(SUBSTITUTE($J14," ",""),CHAR(160),""))&amp;","))*(Verpleegkundigen!$C$2:$C$100&lt;&gt;LOWER(SUBSTITUTE(SUBSTITUTE($K14," ",""),CHAR(160),""))),Verpleegkundigen!$B$2:$B$100)+IF($K14&lt;&gt;"",1,0))</f>
        <v/>
      </c>
      <c r="G14" s="7" t="str">
        <f>IF(AND(C14&lt;&gt;"",D14&lt;&gt;"",C14&gt;D14),"+" &amp; TEXT(C14-D14,"0"),"")</f>
        <v/>
      </c>
      <c r="H14" s="8"/>
      <c r="I14" s="7">
        <f>IF($J14="",5,LEN($J14)-LEN(SUBSTITUTE($J14,",",""))+1)</f>
        <v>5</v>
      </c>
      <c r="J14" s="7"/>
      <c r="K14" s="7"/>
      <c r="L14" s="8"/>
    </row>
    <row r="15" spans="1:12" x14ac:dyDescent="0.25">
      <c r="A15" s="9">
        <v>46310</v>
      </c>
      <c r="B15" s="10" t="s">
        <v>16</v>
      </c>
      <c r="C15" s="10">
        <v>1</v>
      </c>
      <c r="D15" s="10" t="str">
        <f>IF(AND($J15="",$K15=""),"",SUMPRODUCT(--ISNUMBER(SEARCH(","&amp;Verpleegkundigen!$C$2:$C$100&amp;",",","&amp;LOWER(SUBSTITUTE(SUBSTITUTE($J15," ",""),CHAR(160),""))&amp;","))*(Verpleegkundigen!$C$2:$C$100&lt;&gt;LOWER(SUBSTITUTE(SUBSTITUTE($K15," ",""),CHAR(160),""))),Verpleegkundigen!$B$2:$B$100)+IF($K15&lt;&gt;"",1,0))</f>
        <v/>
      </c>
      <c r="E15" s="69">
        <f>IF(F15&gt;D15,1,IF(F15=D15,0,-1))</f>
        <v>0</v>
      </c>
      <c r="F15" s="72" t="str">
        <f>IF(AND($J15="",$K15=""),"",SUMPRODUCT(--ISNUMBER(SEARCH(","&amp;Verpleegkundigen!$C$2:$C$100&amp;",",","&amp;LOWER(SUBSTITUTE(SUBSTITUTE($J15," ",""),CHAR(160),""))&amp;","))*(Verpleegkundigen!$C$2:$C$100&lt;&gt;LOWER(SUBSTITUTE(SUBSTITUTE($K15," ",""),CHAR(160),""))),Verpleegkundigen!$B$2:$B$100)+IF($K15&lt;&gt;"",1,0))</f>
        <v/>
      </c>
      <c r="G15" s="10" t="str">
        <f>IF(AND(C15&lt;&gt;"",D15&lt;&gt;"",C15&gt;D15),"+" &amp; TEXT(C15-D15,"0"),"")</f>
        <v/>
      </c>
      <c r="H15" s="4"/>
      <c r="I15" s="7">
        <f>IF($J15="",5,LEN($J15)-LEN(SUBSTITUTE($J15,",",""))+1)</f>
        <v>5</v>
      </c>
      <c r="J15" s="10"/>
      <c r="K15" s="10"/>
      <c r="L15" s="4"/>
    </row>
    <row r="16" spans="1:12" x14ac:dyDescent="0.25">
      <c r="A16" s="6">
        <v>46311</v>
      </c>
      <c r="B16" s="7" t="s">
        <v>18</v>
      </c>
      <c r="C16" s="7">
        <v>1</v>
      </c>
      <c r="D16" s="7" t="str">
        <f>IF(AND($J16="",$K16=""),"",SUMPRODUCT(--ISNUMBER(SEARCH(","&amp;Verpleegkundigen!$C$2:$C$100&amp;",",","&amp;LOWER(SUBSTITUTE(SUBSTITUTE($J16," ",""),CHAR(160),""))&amp;","))*(Verpleegkundigen!$C$2:$C$100&lt;&gt;LOWER(SUBSTITUTE(SUBSTITUTE($K16," ",""),CHAR(160),""))),Verpleegkundigen!$B$2:$B$100)+IF($K16&lt;&gt;"",1,0))</f>
        <v/>
      </c>
      <c r="E16" s="67">
        <f>IF(F16&gt;D16,1,IF(F16=D16,0,-1))</f>
        <v>0</v>
      </c>
      <c r="F16" s="92" t="str">
        <f>IF(AND($J16="",$K16=""),"",SUMPRODUCT(--ISNUMBER(SEARCH(","&amp;Verpleegkundigen!$C$2:$C$100&amp;",",","&amp;LOWER(SUBSTITUTE(SUBSTITUTE($J16," ",""),CHAR(160),""))&amp;","))*(Verpleegkundigen!$C$2:$C$100&lt;&gt;LOWER(SUBSTITUTE(SUBSTITUTE($K16," ",""),CHAR(160),""))),Verpleegkundigen!$B$2:$B$100)+IF($K16&lt;&gt;"",1,0))</f>
        <v/>
      </c>
      <c r="G16" s="7" t="str">
        <f>IF(AND(C16&lt;&gt;"",D16&lt;&gt;"",C16&gt;D16),"+" &amp; TEXT(C16-D16,"0"),"")</f>
        <v/>
      </c>
      <c r="H16" s="8"/>
      <c r="I16" s="7">
        <f>IF($J16="",5,LEN($J16)-LEN(SUBSTITUTE($J16,",",""))+1)</f>
        <v>5</v>
      </c>
      <c r="J16" s="7"/>
      <c r="K16" s="7"/>
      <c r="L16" s="8"/>
    </row>
    <row r="17" spans="1:12" x14ac:dyDescent="0.25">
      <c r="A17" s="3" t="s">
        <v>104</v>
      </c>
      <c r="B17" s="4"/>
      <c r="C17" s="4"/>
      <c r="D17" s="4"/>
      <c r="E17" s="64"/>
      <c r="F17" s="72" t="str">
        <f>IF(AND($J17="",$K17=""),"",SUMPRODUCT(--ISNUMBER(SEARCH(","&amp;Verpleegkundigen!$C$2:$C$100&amp;",",","&amp;LOWER(SUBSTITUTE(SUBSTITUTE($J17," ",""),CHAR(160),""))&amp;","))*(Verpleegkundigen!$C$2:$C$100&lt;&gt;LOWER(SUBSTITUTE(SUBSTITUTE($K17," ",""),CHAR(160),""))),Verpleegkundigen!$B$2:$B$100)+IF($K17&lt;&gt;"",1,0))</f>
        <v/>
      </c>
      <c r="G17" s="4"/>
      <c r="H17" s="4"/>
      <c r="I17" s="5"/>
      <c r="J17" s="4"/>
      <c r="K17" s="4"/>
      <c r="L17" s="4"/>
    </row>
    <row r="18" spans="1:12" x14ac:dyDescent="0.25">
      <c r="A18" s="6">
        <v>46314</v>
      </c>
      <c r="B18" s="7" t="s">
        <v>10</v>
      </c>
      <c r="C18" s="7">
        <v>0</v>
      </c>
      <c r="D18" s="7" t="str">
        <f>IF(AND($J18="",$K18=""),"",SUMPRODUCT(--ISNUMBER(SEARCH(","&amp;Verpleegkundigen!$C$2:$C$100&amp;",",","&amp;LOWER(SUBSTITUTE(SUBSTITUTE($J18," ",""),CHAR(160),""))&amp;","))*(Verpleegkundigen!$C$2:$C$100&lt;&gt;LOWER(SUBSTITUTE(SUBSTITUTE($K18," ",""),CHAR(160),""))),Verpleegkundigen!$B$2:$B$100)+IF($K18&lt;&gt;"",1,0))</f>
        <v/>
      </c>
      <c r="E18" s="67">
        <f>IF(F18&gt;D18,1,IF(F18=D18,0,-1))</f>
        <v>0</v>
      </c>
      <c r="F18" s="92" t="str">
        <f>IF(AND($J18="",$K18=""),"",SUMPRODUCT(--ISNUMBER(SEARCH(","&amp;Verpleegkundigen!$C$2:$C$100&amp;",",","&amp;LOWER(SUBSTITUTE(SUBSTITUTE($J18," ",""),CHAR(160),""))&amp;","))*(Verpleegkundigen!$C$2:$C$100&lt;&gt;LOWER(SUBSTITUTE(SUBSTITUTE($K18," ",""),CHAR(160),""))),Verpleegkundigen!$B$2:$B$100)+IF($K18&lt;&gt;"",1,0))</f>
        <v/>
      </c>
      <c r="G18" s="7" t="str">
        <f>IF(AND(C18&lt;&gt;"",D18&lt;&gt;"",C18&gt;D18),"+" &amp; TEXT(C18-D18,"0"),"")</f>
        <v/>
      </c>
      <c r="H18" s="8"/>
      <c r="I18" s="7">
        <f>IF($J18="",5,LEN($J18)-LEN(SUBSTITUTE($J18,",",""))+1)</f>
        <v>5</v>
      </c>
      <c r="J18" s="7"/>
      <c r="K18" s="7"/>
      <c r="L18" s="8"/>
    </row>
    <row r="19" spans="1:12" x14ac:dyDescent="0.25">
      <c r="A19" s="9">
        <v>46315</v>
      </c>
      <c r="B19" s="10" t="s">
        <v>12</v>
      </c>
      <c r="C19" s="10">
        <v>0</v>
      </c>
      <c r="D19" s="10" t="str">
        <f>IF(AND($J19="",$K19=""),"",SUMPRODUCT(--ISNUMBER(SEARCH(","&amp;Verpleegkundigen!$C$2:$C$100&amp;",",","&amp;LOWER(SUBSTITUTE(SUBSTITUTE($J19," ",""),CHAR(160),""))&amp;","))*(Verpleegkundigen!$C$2:$C$100&lt;&gt;LOWER(SUBSTITUTE(SUBSTITUTE($K19," ",""),CHAR(160),""))),Verpleegkundigen!$B$2:$B$100)+IF($K19&lt;&gt;"",1,0))</f>
        <v/>
      </c>
      <c r="E19" s="64">
        <f>IF(F19&gt;D19,1,IF(F19=D19,0,-1))</f>
        <v>0</v>
      </c>
      <c r="F19" s="72" t="str">
        <f>IF(AND($J19="",$K19=""),"",SUMPRODUCT(--ISNUMBER(SEARCH(","&amp;Verpleegkundigen!$C$2:$C$100&amp;",",","&amp;LOWER(SUBSTITUTE(SUBSTITUTE($J19," ",""),CHAR(160),""))&amp;","))*(Verpleegkundigen!$C$2:$C$100&lt;&gt;LOWER(SUBSTITUTE(SUBSTITUTE($K19," ",""),CHAR(160),""))),Verpleegkundigen!$B$2:$B$100)+IF($K19&lt;&gt;"",1,0))</f>
        <v/>
      </c>
      <c r="G19" s="10" t="str">
        <f>IF(AND(C19&lt;&gt;"",D19&lt;&gt;"",C19&gt;D19),"+" &amp; TEXT(C19-D19,"0"),"")</f>
        <v/>
      </c>
      <c r="H19" s="4"/>
      <c r="I19" s="7">
        <f>IF($J19="",5,LEN($J19)-LEN(SUBSTITUTE($J19,",",""))+1)</f>
        <v>5</v>
      </c>
      <c r="J19" s="10"/>
      <c r="K19" s="10"/>
      <c r="L19" s="4"/>
    </row>
    <row r="20" spans="1:12" x14ac:dyDescent="0.25">
      <c r="A20" s="6">
        <v>46316</v>
      </c>
      <c r="B20" s="7" t="s">
        <v>14</v>
      </c>
      <c r="C20" s="7">
        <v>1</v>
      </c>
      <c r="D20" s="7" t="str">
        <f>IF(AND($J20="",$K20=""),"",SUMPRODUCT(--ISNUMBER(SEARCH(","&amp;Verpleegkundigen!$C$2:$C$100&amp;",",","&amp;LOWER(SUBSTITUTE(SUBSTITUTE($J20," ",""),CHAR(160),""))&amp;","))*(Verpleegkundigen!$C$2:$C$100&lt;&gt;LOWER(SUBSTITUTE(SUBSTITUTE($K20," ",""),CHAR(160),""))),Verpleegkundigen!$B$2:$B$100)+IF($K20&lt;&gt;"",1,0))</f>
        <v/>
      </c>
      <c r="E20" s="67">
        <f>IF(F20&gt;D20,1,IF(F20=D20,0,-1))</f>
        <v>0</v>
      </c>
      <c r="F20" s="92" t="str">
        <f>IF(AND($J20="",$K20=""),"",SUMPRODUCT(--ISNUMBER(SEARCH(","&amp;Verpleegkundigen!$C$2:$C$100&amp;",",","&amp;LOWER(SUBSTITUTE(SUBSTITUTE($J20," ",""),CHAR(160),""))&amp;","))*(Verpleegkundigen!$C$2:$C$100&lt;&gt;LOWER(SUBSTITUTE(SUBSTITUTE($K20," ",""),CHAR(160),""))),Verpleegkundigen!$B$2:$B$100)+IF($K20&lt;&gt;"",1,0))</f>
        <v/>
      </c>
      <c r="G20" s="7" t="str">
        <f>IF(AND(C20&lt;&gt;"",D20&lt;&gt;"",C20&gt;D20),"+" &amp; TEXT(C20-D20,"0"),"")</f>
        <v/>
      </c>
      <c r="H20" s="8"/>
      <c r="I20" s="7">
        <f>IF($J20="",5,LEN($J20)-LEN(SUBSTITUTE($J20,",",""))+1)</f>
        <v>5</v>
      </c>
      <c r="J20" s="7"/>
      <c r="K20" s="7"/>
      <c r="L20" s="8"/>
    </row>
    <row r="21" spans="1:12" x14ac:dyDescent="0.25">
      <c r="A21" s="9">
        <v>46317</v>
      </c>
      <c r="B21" s="10" t="s">
        <v>16</v>
      </c>
      <c r="C21" s="10">
        <v>0</v>
      </c>
      <c r="D21" s="10" t="str">
        <f>IF(AND($J21="",$K21=""),"",SUMPRODUCT(--ISNUMBER(SEARCH(","&amp;Verpleegkundigen!$C$2:$C$100&amp;",",","&amp;LOWER(SUBSTITUTE(SUBSTITUTE($J21," ",""),CHAR(160),""))&amp;","))*(Verpleegkundigen!$C$2:$C$100&lt;&gt;LOWER(SUBSTITUTE(SUBSTITUTE($K21," ",""),CHAR(160),""))),Verpleegkundigen!$B$2:$B$100)+IF($K21&lt;&gt;"",1,0))</f>
        <v/>
      </c>
      <c r="E21" s="64">
        <f>IF(F21&gt;D21,1,IF(F21=D21,0,-1))</f>
        <v>0</v>
      </c>
      <c r="F21" s="72" t="str">
        <f>IF(AND($J21="",$K21=""),"",SUMPRODUCT(--ISNUMBER(SEARCH(","&amp;Verpleegkundigen!$C$2:$C$100&amp;",",","&amp;LOWER(SUBSTITUTE(SUBSTITUTE($J21," ",""),CHAR(160),""))&amp;","))*(Verpleegkundigen!$C$2:$C$100&lt;&gt;LOWER(SUBSTITUTE(SUBSTITUTE($K21," ",""),CHAR(160),""))),Verpleegkundigen!$B$2:$B$100)+IF($K21&lt;&gt;"",1,0))</f>
        <v/>
      </c>
      <c r="G21" s="10" t="str">
        <f>IF(AND(C21&lt;&gt;"",D21&lt;&gt;"",C21&gt;D21),"+" &amp; TEXT(C21-D21,"0"),"")</f>
        <v/>
      </c>
      <c r="H21" s="4"/>
      <c r="I21" s="7">
        <f>IF($J21="",5,LEN($J21)-LEN(SUBSTITUTE($J21,",",""))+1)</f>
        <v>5</v>
      </c>
      <c r="J21" s="10"/>
      <c r="K21" s="10"/>
      <c r="L21" s="4"/>
    </row>
    <row r="22" spans="1:12" x14ac:dyDescent="0.25">
      <c r="A22" s="6">
        <v>46318</v>
      </c>
      <c r="B22" s="7" t="s">
        <v>18</v>
      </c>
      <c r="C22" s="7">
        <v>0</v>
      </c>
      <c r="D22" s="7" t="str">
        <f>IF(AND($J22="",$K22=""),"",SUMPRODUCT(--ISNUMBER(SEARCH(","&amp;Verpleegkundigen!$C$2:$C$100&amp;",",","&amp;LOWER(SUBSTITUTE(SUBSTITUTE($J22," ",""),CHAR(160),""))&amp;","))*(Verpleegkundigen!$C$2:$C$100&lt;&gt;LOWER(SUBSTITUTE(SUBSTITUTE($K22," ",""),CHAR(160),""))),Verpleegkundigen!$B$2:$B$100)+IF($K22&lt;&gt;"",1,0))</f>
        <v/>
      </c>
      <c r="E22" s="67">
        <f>IF(F22&gt;D22,1,IF(F22=D22,0,-1))</f>
        <v>0</v>
      </c>
      <c r="F22" s="92" t="str">
        <f>IF(AND($J22="",$K22=""),"",SUMPRODUCT(--ISNUMBER(SEARCH(","&amp;Verpleegkundigen!$C$2:$C$100&amp;",",","&amp;LOWER(SUBSTITUTE(SUBSTITUTE($J22," ",""),CHAR(160),""))&amp;","))*(Verpleegkundigen!$C$2:$C$100&lt;&gt;LOWER(SUBSTITUTE(SUBSTITUTE($K22," ",""),CHAR(160),""))),Verpleegkundigen!$B$2:$B$100)+IF($K22&lt;&gt;"",1,0))</f>
        <v/>
      </c>
      <c r="G22" s="7" t="str">
        <f>IF(AND(C22&lt;&gt;"",D22&lt;&gt;"",C22&gt;D22),"+" &amp; TEXT(C22-D22,"0"),"")</f>
        <v/>
      </c>
      <c r="H22" s="8"/>
      <c r="I22" s="7">
        <f>IF($J22="",5,LEN($J22)-LEN(SUBSTITUTE($J22,",",""))+1)</f>
        <v>5</v>
      </c>
      <c r="J22" s="7"/>
      <c r="K22" s="7"/>
      <c r="L22" s="8"/>
    </row>
    <row r="23" spans="1:12" x14ac:dyDescent="0.25">
      <c r="A23" s="3" t="s">
        <v>105</v>
      </c>
      <c r="B23" s="4"/>
      <c r="C23" s="4"/>
      <c r="D23" s="4"/>
      <c r="E23" s="64"/>
      <c r="F23" s="72" t="str">
        <f>IF(AND($J23="",$K23=""),"",SUMPRODUCT(--ISNUMBER(SEARCH(","&amp;Verpleegkundigen!$C$2:$C$100&amp;",",","&amp;LOWER(SUBSTITUTE(SUBSTITUTE($J23," ",""),CHAR(160),""))&amp;","))*(Verpleegkundigen!$C$2:$C$100&lt;&gt;LOWER(SUBSTITUTE(SUBSTITUTE($K23," ",""),CHAR(160),""))),Verpleegkundigen!$B$2:$B$100)+IF($K23&lt;&gt;"",1,0))</f>
        <v/>
      </c>
      <c r="G23" s="4"/>
      <c r="H23" s="4"/>
      <c r="I23" s="5"/>
      <c r="J23" s="4"/>
      <c r="K23" s="4"/>
      <c r="L23" s="4"/>
    </row>
    <row r="24" spans="1:12" x14ac:dyDescent="0.25">
      <c r="A24" s="6">
        <v>46321</v>
      </c>
      <c r="B24" s="7" t="s">
        <v>10</v>
      </c>
      <c r="C24" s="7">
        <v>0</v>
      </c>
      <c r="D24" s="7" t="str">
        <f>IF(AND($J24="",$K24=""),"",SUMPRODUCT(--ISNUMBER(SEARCH(","&amp;Verpleegkundigen!$C$2:$C$100&amp;",",","&amp;LOWER(SUBSTITUTE(SUBSTITUTE($J24," ",""),CHAR(160),""))&amp;","))*(Verpleegkundigen!$C$2:$C$100&lt;&gt;LOWER(SUBSTITUTE(SUBSTITUTE($K24," ",""),CHAR(160),""))),Verpleegkundigen!$B$2:$B$100)+IF($K24&lt;&gt;"",1,0))</f>
        <v/>
      </c>
      <c r="E24" s="67">
        <f>IF(F24&gt;D24,1,IF(F24=D24,0,-1))</f>
        <v>0</v>
      </c>
      <c r="F24" s="92" t="str">
        <f>IF(AND($J24="",$K24=""),"",SUMPRODUCT(--ISNUMBER(SEARCH(","&amp;Verpleegkundigen!$C$2:$C$100&amp;",",","&amp;LOWER(SUBSTITUTE(SUBSTITUTE($J24," ",""),CHAR(160),""))&amp;","))*(Verpleegkundigen!$C$2:$C$100&lt;&gt;LOWER(SUBSTITUTE(SUBSTITUTE($K24," ",""),CHAR(160),""))),Verpleegkundigen!$B$2:$B$100)+IF($K24&lt;&gt;"",1,0))</f>
        <v/>
      </c>
      <c r="G24" s="7" t="str">
        <f>IF(AND(C24&lt;&gt;"",D24&lt;&gt;"",C24&gt;D24),"+" &amp; TEXT(C24-D24,"0"),"")</f>
        <v/>
      </c>
      <c r="H24" s="8"/>
      <c r="I24" s="7">
        <f>IF($J24="",5,LEN($J24)-LEN(SUBSTITUTE($J24,",",""))+1)</f>
        <v>5</v>
      </c>
      <c r="J24" s="7"/>
      <c r="K24" s="7"/>
      <c r="L24" s="8"/>
    </row>
    <row r="25" spans="1:12" x14ac:dyDescent="0.25">
      <c r="A25" s="9">
        <v>46322</v>
      </c>
      <c r="B25" s="10" t="s">
        <v>12</v>
      </c>
      <c r="C25" s="10">
        <v>0</v>
      </c>
      <c r="D25" s="10" t="str">
        <f>IF(AND($J25="",$K25=""),"",SUMPRODUCT(--ISNUMBER(SEARCH(","&amp;Verpleegkundigen!$C$2:$C$100&amp;",",","&amp;LOWER(SUBSTITUTE(SUBSTITUTE($J25," ",""),CHAR(160),""))&amp;","))*(Verpleegkundigen!$C$2:$C$100&lt;&gt;LOWER(SUBSTITUTE(SUBSTITUTE($K25," ",""),CHAR(160),""))),Verpleegkundigen!$B$2:$B$100)+IF($K25&lt;&gt;"",1,0))</f>
        <v/>
      </c>
      <c r="E25" s="64">
        <f>IF(F25&gt;D25,1,IF(F25=D25,0,-1))</f>
        <v>0</v>
      </c>
      <c r="F25" s="72" t="str">
        <f>IF(AND($J25="",$K25=""),"",SUMPRODUCT(--ISNUMBER(SEARCH(","&amp;Verpleegkundigen!$C$2:$C$100&amp;",",","&amp;LOWER(SUBSTITUTE(SUBSTITUTE($J25," ",""),CHAR(160),""))&amp;","))*(Verpleegkundigen!$C$2:$C$100&lt;&gt;LOWER(SUBSTITUTE(SUBSTITUTE($K25," ",""),CHAR(160),""))),Verpleegkundigen!$B$2:$B$100)+IF($K25&lt;&gt;"",1,0))</f>
        <v/>
      </c>
      <c r="G25" s="10" t="str">
        <f>IF(AND(C25&lt;&gt;"",D25&lt;&gt;"",C25&gt;D25),"+" &amp; TEXT(C25-D25,"0"),"")</f>
        <v/>
      </c>
      <c r="H25" s="4"/>
      <c r="I25" s="7">
        <f>IF($J25="",5,LEN($J25)-LEN(SUBSTITUTE($J25,",",""))+1)</f>
        <v>5</v>
      </c>
      <c r="J25" s="10"/>
      <c r="K25" s="10"/>
      <c r="L25" s="4"/>
    </row>
    <row r="26" spans="1:12" x14ac:dyDescent="0.25">
      <c r="A26" s="6">
        <v>46323</v>
      </c>
      <c r="B26" s="7" t="s">
        <v>14</v>
      </c>
      <c r="C26" s="7">
        <v>0</v>
      </c>
      <c r="D26" s="7" t="str">
        <f>IF(AND($J26="",$K26=""),"",SUMPRODUCT(--ISNUMBER(SEARCH(","&amp;Verpleegkundigen!$C$2:$C$100&amp;",",","&amp;LOWER(SUBSTITUTE(SUBSTITUTE($J26," ",""),CHAR(160),""))&amp;","))*(Verpleegkundigen!$C$2:$C$100&lt;&gt;LOWER(SUBSTITUTE(SUBSTITUTE($K26," ",""),CHAR(160),""))),Verpleegkundigen!$B$2:$B$100)+IF($K26&lt;&gt;"",1,0))</f>
        <v/>
      </c>
      <c r="E26" s="67">
        <f>IF(F26&gt;D26,1,IF(F26=D26,0,-1))</f>
        <v>0</v>
      </c>
      <c r="F26" s="92" t="str">
        <f>IF(AND($J26="",$K26=""),"",SUMPRODUCT(--ISNUMBER(SEARCH(","&amp;Verpleegkundigen!$C$2:$C$100&amp;",",","&amp;LOWER(SUBSTITUTE(SUBSTITUTE($J26," ",""),CHAR(160),""))&amp;","))*(Verpleegkundigen!$C$2:$C$100&lt;&gt;LOWER(SUBSTITUTE(SUBSTITUTE($K26," ",""),CHAR(160),""))),Verpleegkundigen!$B$2:$B$100)+IF($K26&lt;&gt;"",1,0))</f>
        <v/>
      </c>
      <c r="G26" s="7" t="str">
        <f>IF(AND(C26&lt;&gt;"",D26&lt;&gt;"",C26&gt;D26),"+" &amp; TEXT(C26-D26,"0"),"")</f>
        <v/>
      </c>
      <c r="H26" s="8"/>
      <c r="I26" s="7">
        <f>IF($J26="",5,LEN($J26)-LEN(SUBSTITUTE($J26,",",""))+1)</f>
        <v>5</v>
      </c>
      <c r="J26" s="7"/>
      <c r="K26" s="7"/>
      <c r="L26" s="8"/>
    </row>
    <row r="27" spans="1:12" x14ac:dyDescent="0.25">
      <c r="A27" s="9">
        <v>46324</v>
      </c>
      <c r="B27" s="10" t="s">
        <v>16</v>
      </c>
      <c r="C27" s="10">
        <v>0</v>
      </c>
      <c r="D27" s="10" t="str">
        <f>IF(AND($J27="",$K27=""),"",SUMPRODUCT(--ISNUMBER(SEARCH(","&amp;Verpleegkundigen!$C$2:$C$100&amp;",",","&amp;LOWER(SUBSTITUTE(SUBSTITUTE($J27," ",""),CHAR(160),""))&amp;","))*(Verpleegkundigen!$C$2:$C$100&lt;&gt;LOWER(SUBSTITUTE(SUBSTITUTE($K27," ",""),CHAR(160),""))),Verpleegkundigen!$B$2:$B$100)+IF($K27&lt;&gt;"",1,0))</f>
        <v/>
      </c>
      <c r="E27" s="64">
        <f>IF(F27&gt;D27,1,IF(F27=D27,0,-1))</f>
        <v>0</v>
      </c>
      <c r="F27" s="72" t="str">
        <f>IF(AND($J27="",$K27=""),"",SUMPRODUCT(--ISNUMBER(SEARCH(","&amp;Verpleegkundigen!$C$2:$C$100&amp;",",","&amp;LOWER(SUBSTITUTE(SUBSTITUTE($J27," ",""),CHAR(160),""))&amp;","))*(Verpleegkundigen!$C$2:$C$100&lt;&gt;LOWER(SUBSTITUTE(SUBSTITUTE($K27," ",""),CHAR(160),""))),Verpleegkundigen!$B$2:$B$100)+IF($K27&lt;&gt;"",1,0))</f>
        <v/>
      </c>
      <c r="G27" s="10" t="str">
        <f>IF(AND(C27&lt;&gt;"",D27&lt;&gt;"",C27&gt;D27),"+" &amp; TEXT(C27-D27,"0"),"")</f>
        <v/>
      </c>
      <c r="H27" s="4"/>
      <c r="I27" s="7">
        <f>IF($J27="",5,LEN($J27)-LEN(SUBSTITUTE($J27,",",""))+1)</f>
        <v>5</v>
      </c>
      <c r="J27" s="10"/>
      <c r="K27" s="10"/>
      <c r="L27" s="4"/>
    </row>
    <row r="28" spans="1:12" x14ac:dyDescent="0.25">
      <c r="A28" s="6">
        <v>46325</v>
      </c>
      <c r="B28" s="7" t="s">
        <v>18</v>
      </c>
      <c r="C28" s="7">
        <v>0</v>
      </c>
      <c r="D28" s="7" t="str">
        <f>IF(AND($J28="",$K28=""),"",SUMPRODUCT(--ISNUMBER(SEARCH(","&amp;Verpleegkundigen!$C$2:$C$100&amp;",",","&amp;LOWER(SUBSTITUTE(SUBSTITUTE($J28," ",""),CHAR(160),""))&amp;","))*(Verpleegkundigen!$C$2:$C$100&lt;&gt;LOWER(SUBSTITUTE(SUBSTITUTE($K28," ",""),CHAR(160),""))),Verpleegkundigen!$B$2:$B$100)+IF($K28&lt;&gt;"",1,0))</f>
        <v/>
      </c>
      <c r="E28" s="67">
        <f>IF(F28&gt;D28,1,IF(F28=D28,0,-1))</f>
        <v>0</v>
      </c>
      <c r="F28" s="92" t="str">
        <f>IF(AND($J28="",$K28=""),"",SUMPRODUCT(--ISNUMBER(SEARCH(","&amp;Verpleegkundigen!$C$2:$C$100&amp;",",","&amp;LOWER(SUBSTITUTE(SUBSTITUTE($J28," ",""),CHAR(160),""))&amp;","))*(Verpleegkundigen!$C$2:$C$100&lt;&gt;LOWER(SUBSTITUTE(SUBSTITUTE($K28," ",""),CHAR(160),""))),Verpleegkundigen!$B$2:$B$100)+IF($K28&lt;&gt;"",1,0))</f>
        <v/>
      </c>
      <c r="G28" s="7" t="str">
        <f>IF(AND(C28&lt;&gt;"",D28&lt;&gt;"",C28&gt;D28),"+" &amp; TEXT(C28-D28,"0"),"")</f>
        <v/>
      </c>
      <c r="H28" s="8"/>
      <c r="I28" s="7">
        <f>IF($J28="",5,LEN($J28)-LEN(SUBSTITUTE($J28,",",""))+1)</f>
        <v>5</v>
      </c>
      <c r="J28" s="7"/>
      <c r="K28" s="7"/>
      <c r="L28" s="8"/>
    </row>
  </sheetData>
  <conditionalFormatting sqref="C3:C25 C28">
    <cfRule type="expression" dxfId="59" priority="41">
      <formula>AND(ISNUMBER($C3),ISNUMBER($D3),$C3&lt;0.8*$D3)</formula>
    </cfRule>
    <cfRule type="expression" dxfId="58" priority="42">
      <formula>AND(ISNUMBER($C3),ISNUMBER($D3),$C3&gt;=0.8*$D3,$C3&lt;$D3)</formula>
    </cfRule>
    <cfRule type="expression" dxfId="57" priority="43">
      <formula>AND(ISNUMBER($C3),ISNUMBER($D3),$C3&gt;=$D3)</formula>
    </cfRule>
  </conditionalFormatting>
  <conditionalFormatting sqref="I3:I25 I28">
    <cfRule type="expression" dxfId="56" priority="38">
      <formula>$I3=2</formula>
    </cfRule>
    <cfRule type="expression" dxfId="55" priority="39">
      <formula>OR($I3=3,$I3=4)</formula>
    </cfRule>
    <cfRule type="expression" dxfId="54" priority="40">
      <formula>$I3&gt;=5</formula>
    </cfRule>
  </conditionalFormatting>
  <conditionalFormatting sqref="C26:C27">
    <cfRule type="expression" dxfId="53" priority="29">
      <formula>AND(ISNUMBER($C26),ISNUMBER($D26),$C26&lt;0.8*$D26)</formula>
    </cfRule>
    <cfRule type="expression" dxfId="52" priority="30">
      <formula>AND(ISNUMBER($C26),ISNUMBER($D26),$C26&gt;=0.8*$D26,$C26&lt;$D26)</formula>
    </cfRule>
    <cfRule type="expression" dxfId="51" priority="31">
      <formula>AND(ISNUMBER($C26),ISNUMBER($D26),$C26&gt;=$D26)</formula>
    </cfRule>
  </conditionalFormatting>
  <conditionalFormatting sqref="I26:I27">
    <cfRule type="expression" dxfId="50" priority="26">
      <formula>$I26=2</formula>
    </cfRule>
    <cfRule type="expression" dxfId="49" priority="27">
      <formula>OR($I26=3,$I26=4)</formula>
    </cfRule>
    <cfRule type="expression" dxfId="48" priority="28">
      <formula>$I26&gt;=5</formula>
    </cfRule>
  </conditionalFormatting>
  <pageMargins left="0.75" right="0.75" top="1" bottom="1" header="0.5" footer="0.5"/>
  <ignoredErrors>
    <ignoredError sqref="E3:E4 E25:E28 E19:E22 E14:E16 E6:E10 E12:E13 E18 E24" formula="1"/>
  </ignoredErrors>
  <extLst>
    <ext xmlns:x14="http://schemas.microsoft.com/office/spreadsheetml/2009/9/main" uri="{78C0D931-6437-407d-A8EE-F0AAD7539E65}">
      <x14:conditionalFormattings>
        <x14:conditionalFormatting xmlns:xm="http://schemas.microsoft.com/office/excel/2006/main">
          <x14:cfRule type="iconSet" priority="19" id="{AB44EDE1-B175-4A60-89A2-E2B2C6977561}">
            <x14:iconSet iconSet="3Triangles" showValue="0">
              <x14:cfvo type="percent">
                <xm:f>0</xm:f>
              </x14:cfvo>
              <x14:cfvo type="formula">
                <xm:f>0</xm:f>
              </x14:cfvo>
              <x14:cfvo type="formula">
                <xm:f>1</xm:f>
              </x14:cfvo>
            </x14:iconSet>
          </x14:cfRule>
          <xm:sqref>E3 E23 E17 E11 E5 E21 E15 E9 E7</xm:sqref>
        </x14:conditionalFormatting>
        <x14:conditionalFormatting xmlns:xm="http://schemas.microsoft.com/office/excel/2006/main">
          <x14:cfRule type="iconSet" priority="18" id="{8F9F9FA4-9F82-4A3D-B943-83F13C5525A2}">
            <x14:iconSet iconSet="3Triangles" showValue="0">
              <x14:cfvo type="percent">
                <xm:f>0</xm:f>
              </x14:cfvo>
              <x14:cfvo type="formula">
                <xm:f>0</xm:f>
              </x14:cfvo>
              <x14:cfvo type="formula">
                <xm:f>1</xm:f>
              </x14:cfvo>
            </x14:iconSet>
          </x14:cfRule>
          <xm:sqref>E27</xm:sqref>
        </x14:conditionalFormatting>
        <x14:conditionalFormatting xmlns:xm="http://schemas.microsoft.com/office/excel/2006/main">
          <x14:cfRule type="iconSet" priority="17" id="{9A03475A-20BC-455B-AAEF-AF39D6410CEE}">
            <x14:iconSet iconSet="3Triangles" showValue="0">
              <x14:cfvo type="percent">
                <xm:f>0</xm:f>
              </x14:cfvo>
              <x14:cfvo type="formula">
                <xm:f>0</xm:f>
              </x14:cfvo>
              <x14:cfvo type="formula">
                <xm:f>1</xm:f>
              </x14:cfvo>
            </x14:iconSet>
          </x14:cfRule>
          <xm:sqref>E22</xm:sqref>
        </x14:conditionalFormatting>
        <x14:conditionalFormatting xmlns:xm="http://schemas.microsoft.com/office/excel/2006/main">
          <x14:cfRule type="iconSet" priority="16" id="{2A1019F5-0834-4539-8BAA-2A69B80DDFE5}">
            <x14:iconSet iconSet="3Triangles" showValue="0">
              <x14:cfvo type="percent">
                <xm:f>0</xm:f>
              </x14:cfvo>
              <x14:cfvo type="formula">
                <xm:f>0</xm:f>
              </x14:cfvo>
              <x14:cfvo type="formula">
                <xm:f>1</xm:f>
              </x14:cfvo>
            </x14:iconSet>
          </x14:cfRule>
          <xm:sqref>E16</xm:sqref>
        </x14:conditionalFormatting>
        <x14:conditionalFormatting xmlns:xm="http://schemas.microsoft.com/office/excel/2006/main">
          <x14:cfRule type="iconSet" priority="15" id="{84F5E4D9-FB67-41B1-B650-7F2BEDE4C8FA}">
            <x14:iconSet iconSet="3Triangles" showValue="0">
              <x14:cfvo type="percent">
                <xm:f>0</xm:f>
              </x14:cfvo>
              <x14:cfvo type="formula">
                <xm:f>0</xm:f>
              </x14:cfvo>
              <x14:cfvo type="formula">
                <xm:f>1</xm:f>
              </x14:cfvo>
            </x14:iconSet>
          </x14:cfRule>
          <xm:sqref>E10</xm:sqref>
        </x14:conditionalFormatting>
        <x14:conditionalFormatting xmlns:xm="http://schemas.microsoft.com/office/excel/2006/main">
          <x14:cfRule type="iconSet" priority="14" id="{EB11AE60-811C-4634-B900-5C4FCC4440F3}">
            <x14:iconSet iconSet="3Triangles" showValue="0">
              <x14:cfvo type="percent">
                <xm:f>0</xm:f>
              </x14:cfvo>
              <x14:cfvo type="formula">
                <xm:f>0</xm:f>
              </x14:cfvo>
              <x14:cfvo type="formula">
                <xm:f>1</xm:f>
              </x14:cfvo>
            </x14:iconSet>
          </x14:cfRule>
          <xm:sqref>E4</xm:sqref>
        </x14:conditionalFormatting>
        <x14:conditionalFormatting xmlns:xm="http://schemas.microsoft.com/office/excel/2006/main">
          <x14:cfRule type="iconSet" priority="12" id="{D33D0F5F-CB63-4AB0-921D-2427A9F49FEE}">
            <x14:iconSet iconSet="3Triangles" showValue="0">
              <x14:cfvo type="percent">
                <xm:f>0</xm:f>
              </x14:cfvo>
              <x14:cfvo type="formula">
                <xm:f>0</xm:f>
              </x14:cfvo>
              <x14:cfvo type="formula">
                <xm:f>1</xm:f>
              </x14:cfvo>
            </x14:iconSet>
          </x14:cfRule>
          <xm:sqref>E6</xm:sqref>
        </x14:conditionalFormatting>
        <x14:conditionalFormatting xmlns:xm="http://schemas.microsoft.com/office/excel/2006/main">
          <x14:cfRule type="iconSet" priority="11" id="{95BA1AA3-24FC-48A8-AB92-D3EEFF76A899}">
            <x14:iconSet iconSet="3Triangles" showValue="0">
              <x14:cfvo type="percent">
                <xm:f>0</xm:f>
              </x14:cfvo>
              <x14:cfvo type="formula">
                <xm:f>0</xm:f>
              </x14:cfvo>
              <x14:cfvo type="formula">
                <xm:f>1</xm:f>
              </x14:cfvo>
            </x14:iconSet>
          </x14:cfRule>
          <xm:sqref>E12</xm:sqref>
        </x14:conditionalFormatting>
        <x14:conditionalFormatting xmlns:xm="http://schemas.microsoft.com/office/excel/2006/main">
          <x14:cfRule type="iconSet" priority="10" id="{F8751183-A590-4C81-80BC-449DC8312475}">
            <x14:iconSet iconSet="3Triangles" showValue="0">
              <x14:cfvo type="percent">
                <xm:f>0</xm:f>
              </x14:cfvo>
              <x14:cfvo type="formula">
                <xm:f>0</xm:f>
              </x14:cfvo>
              <x14:cfvo type="formula">
                <xm:f>1</xm:f>
              </x14:cfvo>
            </x14:iconSet>
          </x14:cfRule>
          <xm:sqref>E18</xm:sqref>
        </x14:conditionalFormatting>
        <x14:conditionalFormatting xmlns:xm="http://schemas.microsoft.com/office/excel/2006/main">
          <x14:cfRule type="iconSet" priority="9" id="{251A3314-5EFD-4D63-9150-BD379B5C244A}">
            <x14:iconSet iconSet="3Triangles" showValue="0">
              <x14:cfvo type="percent">
                <xm:f>0</xm:f>
              </x14:cfvo>
              <x14:cfvo type="formula">
                <xm:f>0</xm:f>
              </x14:cfvo>
              <x14:cfvo type="formula">
                <xm:f>1</xm:f>
              </x14:cfvo>
            </x14:iconSet>
          </x14:cfRule>
          <xm:sqref>E24</xm:sqref>
        </x14:conditionalFormatting>
        <x14:conditionalFormatting xmlns:xm="http://schemas.microsoft.com/office/excel/2006/main">
          <x14:cfRule type="iconSet" priority="8" id="{481E2A70-D0CC-41D9-A3D6-374DFED9C03F}">
            <x14:iconSet iconSet="3Triangles" showValue="0">
              <x14:cfvo type="percent">
                <xm:f>0</xm:f>
              </x14:cfvo>
              <x14:cfvo type="formula">
                <xm:f>0</xm:f>
              </x14:cfvo>
              <x14:cfvo type="formula">
                <xm:f>1</xm:f>
              </x14:cfvo>
            </x14:iconSet>
          </x14:cfRule>
          <xm:sqref>E14</xm:sqref>
        </x14:conditionalFormatting>
        <x14:conditionalFormatting xmlns:xm="http://schemas.microsoft.com/office/excel/2006/main">
          <x14:cfRule type="iconSet" priority="7" id="{53F4E3AD-8701-4B02-8497-CFB1D488EB5F}">
            <x14:iconSet iconSet="3Triangles" showValue="0">
              <x14:cfvo type="percent">
                <xm:f>0</xm:f>
              </x14:cfvo>
              <x14:cfvo type="formula">
                <xm:f>0</xm:f>
              </x14:cfvo>
              <x14:cfvo type="formula">
                <xm:f>1</xm:f>
              </x14:cfvo>
            </x14:iconSet>
          </x14:cfRule>
          <xm:sqref>E20</xm:sqref>
        </x14:conditionalFormatting>
        <x14:conditionalFormatting xmlns:xm="http://schemas.microsoft.com/office/excel/2006/main">
          <x14:cfRule type="iconSet" priority="6" id="{F216AE38-6D6F-4837-905F-CD408B8A0EE7}">
            <x14:iconSet iconSet="3Triangles" showValue="0">
              <x14:cfvo type="percent">
                <xm:f>0</xm:f>
              </x14:cfvo>
              <x14:cfvo type="formula">
                <xm:f>0</xm:f>
              </x14:cfvo>
              <x14:cfvo type="formula">
                <xm:f>1</xm:f>
              </x14:cfvo>
            </x14:iconSet>
          </x14:cfRule>
          <xm:sqref>E26</xm:sqref>
        </x14:conditionalFormatting>
        <x14:conditionalFormatting xmlns:xm="http://schemas.microsoft.com/office/excel/2006/main">
          <x14:cfRule type="iconSet" priority="5" id="{1E5EB742-CEF3-4F5B-B1CC-9C2E7CC9B3A0}">
            <x14:iconSet iconSet="3Triangles" showValue="0">
              <x14:cfvo type="percent">
                <xm:f>0</xm:f>
              </x14:cfvo>
              <x14:cfvo type="formula">
                <xm:f>0</xm:f>
              </x14:cfvo>
              <x14:cfvo type="formula">
                <xm:f>1</xm:f>
              </x14:cfvo>
            </x14:iconSet>
          </x14:cfRule>
          <xm:sqref>E28</xm:sqref>
        </x14:conditionalFormatting>
        <x14:conditionalFormatting xmlns:xm="http://schemas.microsoft.com/office/excel/2006/main">
          <x14:cfRule type="iconSet" priority="4" id="{0F72E08D-322C-4C14-BABC-04A14C7BD07D}">
            <x14:iconSet iconSet="3Triangles" showValue="0">
              <x14:cfvo type="percent">
                <xm:f>0</xm:f>
              </x14:cfvo>
              <x14:cfvo type="formula">
                <xm:f>0</xm:f>
              </x14:cfvo>
              <x14:cfvo type="formula">
                <xm:f>1</xm:f>
              </x14:cfvo>
            </x14:iconSet>
          </x14:cfRule>
          <xm:sqref>E8</xm:sqref>
        </x14:conditionalFormatting>
        <x14:conditionalFormatting xmlns:xm="http://schemas.microsoft.com/office/excel/2006/main">
          <x14:cfRule type="iconSet" priority="3" id="{22E529DB-8E42-4512-AAA4-2225AD7E5F9A}">
            <x14:iconSet iconSet="3Triangles" showValue="0">
              <x14:cfvo type="percent">
                <xm:f>0</xm:f>
              </x14:cfvo>
              <x14:cfvo type="formula">
                <xm:f>0</xm:f>
              </x14:cfvo>
              <x14:cfvo type="formula">
                <xm:f>1</xm:f>
              </x14:cfvo>
            </x14:iconSet>
          </x14:cfRule>
          <xm:sqref>E25</xm:sqref>
        </x14:conditionalFormatting>
        <x14:conditionalFormatting xmlns:xm="http://schemas.microsoft.com/office/excel/2006/main">
          <x14:cfRule type="iconSet" priority="2" id="{D15C9210-F190-423D-BFB3-938E22A126FE}">
            <x14:iconSet iconSet="3Triangles" showValue="0">
              <x14:cfvo type="percent">
                <xm:f>0</xm:f>
              </x14:cfvo>
              <x14:cfvo type="formula">
                <xm:f>0</xm:f>
              </x14:cfvo>
              <x14:cfvo type="formula">
                <xm:f>1</xm:f>
              </x14:cfvo>
            </x14:iconSet>
          </x14:cfRule>
          <xm:sqref>E19</xm:sqref>
        </x14:conditionalFormatting>
        <x14:conditionalFormatting xmlns:xm="http://schemas.microsoft.com/office/excel/2006/main">
          <x14:cfRule type="iconSet" priority="1" id="{901410F2-367E-49C8-A227-EBC56EA0F129}">
            <x14:iconSet iconSet="3Triangles" showValue="0">
              <x14:cfvo type="percent">
                <xm:f>0</xm:f>
              </x14:cfvo>
              <x14:cfvo type="formula">
                <xm:f>0</xm:f>
              </x14:cfvo>
              <x14:cfvo type="formula">
                <xm:f>1</xm:f>
              </x14:cfvo>
            </x14:iconSet>
          </x14:cfRule>
          <xm:sqref>E13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E3" sqref="E3:E27"/>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3.42578125"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7109375" bestFit="1" customWidth="1"/>
  </cols>
  <sheetData>
    <row r="1" spans="1:12" x14ac:dyDescent="0.25">
      <c r="A1" s="1" t="s">
        <v>0</v>
      </c>
      <c r="B1" s="1" t="s">
        <v>1</v>
      </c>
      <c r="C1" s="1" t="s">
        <v>2</v>
      </c>
      <c r="D1" s="1" t="s">
        <v>145</v>
      </c>
      <c r="E1" s="1"/>
      <c r="F1" s="1" t="s">
        <v>146</v>
      </c>
      <c r="G1" s="1" t="s">
        <v>4</v>
      </c>
      <c r="H1" s="1" t="s">
        <v>5</v>
      </c>
      <c r="I1" s="1" t="s">
        <v>6</v>
      </c>
      <c r="J1" s="1" t="s">
        <v>7</v>
      </c>
      <c r="K1" s="1" t="s">
        <v>8</v>
      </c>
      <c r="L1" s="1" t="s">
        <v>148</v>
      </c>
    </row>
    <row r="2" spans="1:12" x14ac:dyDescent="0.25">
      <c r="A2" s="3" t="s">
        <v>9</v>
      </c>
      <c r="B2" s="4"/>
      <c r="C2" s="4"/>
      <c r="D2" s="4"/>
      <c r="E2" s="4"/>
      <c r="F2" s="4"/>
      <c r="G2" s="4"/>
      <c r="H2" s="4"/>
      <c r="I2" s="5"/>
      <c r="J2" s="4"/>
      <c r="K2" s="4"/>
      <c r="L2" s="4"/>
    </row>
    <row r="3" spans="1:12" x14ac:dyDescent="0.25">
      <c r="A3" s="6">
        <v>46328</v>
      </c>
      <c r="B3" s="7" t="s">
        <v>10</v>
      </c>
      <c r="C3" s="7">
        <v>5</v>
      </c>
      <c r="D3" s="7" t="str">
        <f>IF(AND($J3="",$K3=""),"",SUMPRODUCT(--ISNUMBER(SEARCH(","&amp;Verpleegkundigen!$C$2:$C$100&amp;",",","&amp;LOWER(SUBSTITUTE(SUBSTITUTE($J3," ",""),CHAR(160),""))&amp;","))*(Verpleegkundigen!$C$2:$C$100&lt;&gt;LOWER(SUBSTITUTE(SUBSTITUTE($K3," ",""),CHAR(160),""))),Verpleegkundigen!$B$2:$B$100)+IF($K3&lt;&gt;"",1,0))</f>
        <v/>
      </c>
      <c r="E3" s="63">
        <f>IF(F3&gt;D3,1,IF(F3=D3,0,-1))</f>
        <v>0</v>
      </c>
      <c r="F3" s="92"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46329</v>
      </c>
      <c r="B4" s="10" t="s">
        <v>12</v>
      </c>
      <c r="C4" s="10">
        <v>5</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6">
        <v>46330</v>
      </c>
      <c r="B5" s="7" t="s">
        <v>14</v>
      </c>
      <c r="C5" s="7">
        <v>5</v>
      </c>
      <c r="D5" s="7" t="str">
        <f>IF(AND($J5="",$K5=""),"",SUMPRODUCT(--ISNUMBER(SEARCH(","&amp;Verpleegkundigen!$C$2:$C$100&amp;",",","&amp;LOWER(SUBSTITUTE(SUBSTITUTE($J5," ",""),CHAR(160),""))&amp;","))*(Verpleegkundigen!$C$2:$C$100&lt;&gt;LOWER(SUBSTITUTE(SUBSTITUTE($K5," ",""),CHAR(160),""))),Verpleegkundigen!$B$2:$B$100)+IF($K5&lt;&gt;"",1,0))</f>
        <v/>
      </c>
      <c r="E5" s="63">
        <f>IF(F5&gt;D5,1,IF(F5=D5,0,-1))</f>
        <v>0</v>
      </c>
      <c r="F5" s="92"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8"/>
    </row>
    <row r="6" spans="1:12" x14ac:dyDescent="0.25">
      <c r="A6" s="9">
        <v>46331</v>
      </c>
      <c r="B6" s="10" t="s">
        <v>16</v>
      </c>
      <c r="C6" s="10">
        <v>7</v>
      </c>
      <c r="D6" s="10" t="str">
        <f>IF(AND($J6="",$K6=""),"",SUMPRODUCT(--ISNUMBER(SEARCH(","&amp;Verpleegkundigen!$C$2:$C$100&amp;",",","&amp;LOWER(SUBSTITUTE(SUBSTITUTE($J6," ",""),CHAR(160),""))&amp;","))*(Verpleegkundigen!$C$2:$C$100&lt;&gt;LOWER(SUBSTITUTE(SUBSTITUTE($K6," ",""),CHAR(160),""))),Verpleegkundigen!$B$2:$B$100)+IF($K6&lt;&gt;"",1,0))</f>
        <v/>
      </c>
      <c r="E6" s="69">
        <f>IF(F6&gt;D6,1,IF(F6=D6,0,-1))</f>
        <v>0</v>
      </c>
      <c r="F6" s="72" t="str">
        <f>IF(AND($J6="",$K6=""),"",SUMPRODUCT(--ISNUMBER(SEARCH(","&amp;Verpleegkundigen!$C$2:$C$100&amp;",",","&amp;LOWER(SUBSTITUTE(SUBSTITUTE($J6," ",""),CHAR(160),""))&amp;","))*(Verpleegkundigen!$C$2:$C$100&lt;&gt;LOWER(SUBSTITUTE(SUBSTITUTE($K6," ",""),CHAR(160),""))),Verpleegkundigen!$B$2:$B$100)+IF($K6&lt;&gt;"",1,0))</f>
        <v/>
      </c>
      <c r="G6" s="10" t="str">
        <f>IF(AND(C6&lt;&gt;"",D6&lt;&gt;"",C6&gt;D6),"+" &amp; TEXT(C6-D6,"0"),"")</f>
        <v/>
      </c>
      <c r="H6" s="4"/>
      <c r="I6" s="7">
        <f>IF($J6="",5,LEN($J6)-LEN(SUBSTITUTE($J6,",",""))+1)</f>
        <v>5</v>
      </c>
      <c r="J6" s="10"/>
      <c r="K6" s="10"/>
      <c r="L6" s="4"/>
    </row>
    <row r="7" spans="1:12" x14ac:dyDescent="0.25">
      <c r="A7" s="6">
        <v>46332</v>
      </c>
      <c r="B7" s="7" t="s">
        <v>18</v>
      </c>
      <c r="C7" s="7">
        <v>5</v>
      </c>
      <c r="D7" s="7" t="str">
        <f>IF(AND($J7="",$K7=""),"",SUMPRODUCT(--ISNUMBER(SEARCH(","&amp;Verpleegkundigen!$C$2:$C$100&amp;",",","&amp;LOWER(SUBSTITUTE(SUBSTITUTE($J7," ",""),CHAR(160),""))&amp;","))*(Verpleegkundigen!$C$2:$C$100&lt;&gt;LOWER(SUBSTITUTE(SUBSTITUTE($K7," ",""),CHAR(160),""))),Verpleegkundigen!$B$2:$B$100)+IF($K7&lt;&gt;"",1,0))</f>
        <v/>
      </c>
      <c r="E7" s="63">
        <f>IF(F7&gt;D7,1,IF(F7=D7,0,-1))</f>
        <v>0</v>
      </c>
      <c r="F7" s="92" t="str">
        <f>IF(AND($J7="",$K7=""),"",SUMPRODUCT(--ISNUMBER(SEARCH(","&amp;Verpleegkundigen!$C$2:$C$100&amp;",",","&amp;LOWER(SUBSTITUTE(SUBSTITUTE($J7," ",""),CHAR(160),""))&amp;","))*(Verpleegkundigen!$C$2:$C$100&lt;&gt;LOWER(SUBSTITUTE(SUBSTITUTE($K7," ",""),CHAR(160),""))),Verpleegkundigen!$B$2:$B$100)+IF($K7&lt;&gt;"",1,0))</f>
        <v/>
      </c>
      <c r="G7" s="7" t="str">
        <f>IF(AND(C7&lt;&gt;"",D7&lt;&gt;"",C7&gt;D7),"+" &amp; TEXT(C7-D7,"0"),"")</f>
        <v/>
      </c>
      <c r="H7" s="8"/>
      <c r="I7" s="7">
        <f>IF($J7="",5,LEN($J7)-LEN(SUBSTITUTE($J7,",",""))+1)</f>
        <v>5</v>
      </c>
      <c r="J7" s="7"/>
      <c r="K7" s="7"/>
      <c r="L7" s="8"/>
    </row>
    <row r="8" spans="1:12" x14ac:dyDescent="0.25">
      <c r="A8" s="3" t="s">
        <v>20</v>
      </c>
      <c r="B8" s="4"/>
      <c r="C8" s="4"/>
      <c r="D8" s="4"/>
      <c r="E8" s="69"/>
      <c r="F8" s="72" t="str">
        <f>IF(AND($J8="",$K8=""),"",SUMPRODUCT(--ISNUMBER(SEARCH(","&amp;Verpleegkundigen!$C$2:$C$100&amp;",",","&amp;LOWER(SUBSTITUTE(SUBSTITUTE($J8," ",""),CHAR(160),""))&amp;","))*(Verpleegkundigen!$C$2:$C$100&lt;&gt;LOWER(SUBSTITUTE(SUBSTITUTE($K8," ",""),CHAR(160),""))),Verpleegkundigen!$B$2:$B$100)+IF($K8&lt;&gt;"",1,0))</f>
        <v/>
      </c>
      <c r="G8" s="4"/>
      <c r="H8" s="4"/>
      <c r="I8" s="5"/>
      <c r="J8" s="4"/>
      <c r="K8" s="4"/>
      <c r="L8" s="4"/>
    </row>
    <row r="9" spans="1:12" x14ac:dyDescent="0.25">
      <c r="A9" s="6">
        <v>46335</v>
      </c>
      <c r="B9" s="7" t="s">
        <v>10</v>
      </c>
      <c r="C9" s="7">
        <v>13</v>
      </c>
      <c r="D9" s="7" t="str">
        <f>IF(AND($J9="",$K9=""),"",SUMPRODUCT(--ISNUMBER(SEARCH(","&amp;Verpleegkundigen!$C$2:$C$100&amp;",",","&amp;LOWER(SUBSTITUTE(SUBSTITUTE($J9," ",""),CHAR(160),""))&amp;","))*(Verpleegkundigen!$C$2:$C$100&lt;&gt;LOWER(SUBSTITUTE(SUBSTITUTE($K9," ",""),CHAR(160),""))),Verpleegkundigen!$B$2:$B$100)+IF($K9&lt;&gt;"",1,0))</f>
        <v/>
      </c>
      <c r="E9" s="67">
        <f>IF(F9&gt;D9,1,IF(F9=D9,0,-1))</f>
        <v>0</v>
      </c>
      <c r="F9" s="92" t="str">
        <f>IF(AND($J9="",$K9=""),"",SUMPRODUCT(--ISNUMBER(SEARCH(","&amp;Verpleegkundigen!$C$2:$C$100&amp;",",","&amp;LOWER(SUBSTITUTE(SUBSTITUTE($J9," ",""),CHAR(160),""))&amp;","))*(Verpleegkundigen!$C$2:$C$100&lt;&gt;LOWER(SUBSTITUTE(SUBSTITUTE($K9," ",""),CHAR(160),""))),Verpleegkundigen!$B$2:$B$100)+IF($K9&lt;&gt;"",1,0))</f>
        <v/>
      </c>
      <c r="G9" s="7" t="str">
        <f>IF(AND(C9&lt;&gt;"",D9&lt;&gt;"",C9&gt;D9),"+" &amp; TEXT(C9-D9,"0"),"")</f>
        <v/>
      </c>
      <c r="H9" s="8"/>
      <c r="I9" s="7">
        <f>IF($J9="",5,LEN($J9)-LEN(SUBSTITUTE($J9,",",""))+1)</f>
        <v>5</v>
      </c>
      <c r="J9" s="7"/>
      <c r="K9" s="7"/>
      <c r="L9" s="8"/>
    </row>
    <row r="10" spans="1:12" x14ac:dyDescent="0.25">
      <c r="A10" s="9">
        <v>46336</v>
      </c>
      <c r="B10" s="10" t="s">
        <v>12</v>
      </c>
      <c r="C10" s="10">
        <v>7</v>
      </c>
      <c r="D10" s="10" t="str">
        <f>IF(AND($J10="",$K10=""),"",SUMPRODUCT(--ISNUMBER(SEARCH(","&amp;Verpleegkundigen!$C$2:$C$100&amp;",",","&amp;LOWER(SUBSTITUTE(SUBSTITUTE($J10," ",""),CHAR(160),""))&amp;","))*(Verpleegkundigen!$C$2:$C$100&lt;&gt;LOWER(SUBSTITUTE(SUBSTITUTE($K10," ",""),CHAR(160),""))),Verpleegkundigen!$B$2:$B$100)+IF($K10&lt;&gt;"",1,0))</f>
        <v/>
      </c>
      <c r="E10" s="69">
        <f>IF(F10&gt;D10,1,IF(F10=D10,0,-1))</f>
        <v>0</v>
      </c>
      <c r="F10" s="72" t="str">
        <f>IF(AND($J10="",$K10=""),"",SUMPRODUCT(--ISNUMBER(SEARCH(","&amp;Verpleegkundigen!$C$2:$C$100&amp;",",","&amp;LOWER(SUBSTITUTE(SUBSTITUTE($J10," ",""),CHAR(160),""))&amp;","))*(Verpleegkundigen!$C$2:$C$100&lt;&gt;LOWER(SUBSTITUTE(SUBSTITUTE($K10," ",""),CHAR(160),""))),Verpleegkundigen!$B$2:$B$100)+IF($K10&lt;&gt;"",1,0))</f>
        <v/>
      </c>
      <c r="G10" s="10" t="str">
        <f>IF(AND(C10&lt;&gt;"",D10&lt;&gt;"",C10&gt;D10),"+" &amp; TEXT(C10-D10,"0"),"")</f>
        <v/>
      </c>
      <c r="H10" s="4"/>
      <c r="I10" s="7">
        <f>IF($J10="",5,LEN($J10)-LEN(SUBSTITUTE($J10,",",""))+1)</f>
        <v>5</v>
      </c>
      <c r="J10" s="10"/>
      <c r="K10" s="10"/>
      <c r="L10" s="4"/>
    </row>
    <row r="11" spans="1:12" x14ac:dyDescent="0.25">
      <c r="A11" s="6">
        <v>46337</v>
      </c>
      <c r="B11" s="7" t="s">
        <v>14</v>
      </c>
      <c r="C11" s="7">
        <v>9</v>
      </c>
      <c r="D11" s="7" t="str">
        <f>IF(AND($J11="",$K11=""),"",SUMPRODUCT(--ISNUMBER(SEARCH(","&amp;Verpleegkundigen!$C$2:$C$100&amp;",",","&amp;LOWER(SUBSTITUTE(SUBSTITUTE($J11," ",""),CHAR(160),""))&amp;","))*(Verpleegkundigen!$C$2:$C$100&lt;&gt;LOWER(SUBSTITUTE(SUBSTITUTE($K11," ",""),CHAR(160),""))),Verpleegkundigen!$B$2:$B$100)+IF($K11&lt;&gt;"",1,0))</f>
        <v/>
      </c>
      <c r="E11" s="63">
        <f>IF(F11&gt;D11,1,IF(F11=D11,0,-1))</f>
        <v>0</v>
      </c>
      <c r="F11" s="92" t="str">
        <f>IF(AND($J11="",$K11=""),"",SUMPRODUCT(--ISNUMBER(SEARCH(","&amp;Verpleegkundigen!$C$2:$C$100&amp;",",","&amp;LOWER(SUBSTITUTE(SUBSTITUTE($J11," ",""),CHAR(160),""))&amp;","))*(Verpleegkundigen!$C$2:$C$100&lt;&gt;LOWER(SUBSTITUTE(SUBSTITUTE($K11," ",""),CHAR(160),""))),Verpleegkundigen!$B$2:$B$100)+IF($K11&lt;&gt;"",1,0))</f>
        <v/>
      </c>
      <c r="G11" s="7" t="str">
        <f>IF(AND(C11&lt;&gt;"",D11&lt;&gt;"",C11&gt;D11),"+" &amp; TEXT(C11-D11,"0"),"")</f>
        <v/>
      </c>
      <c r="H11" s="8"/>
      <c r="I11" s="7">
        <f>IF($J11="",5,LEN($J11)-LEN(SUBSTITUTE($J11,",",""))+1)</f>
        <v>5</v>
      </c>
      <c r="J11" s="7"/>
      <c r="K11" s="7"/>
      <c r="L11" s="8"/>
    </row>
    <row r="12" spans="1:12" x14ac:dyDescent="0.25">
      <c r="A12" s="9">
        <v>46338</v>
      </c>
      <c r="B12" s="10" t="s">
        <v>16</v>
      </c>
      <c r="C12" s="10">
        <v>5</v>
      </c>
      <c r="D12" s="10" t="str">
        <f>IF(AND($J12="",$K12=""),"",SUMPRODUCT(--ISNUMBER(SEARCH(","&amp;Verpleegkundigen!$C$2:$C$100&amp;",",","&amp;LOWER(SUBSTITUTE(SUBSTITUTE($J12," ",""),CHAR(160),""))&amp;","))*(Verpleegkundigen!$C$2:$C$100&lt;&gt;LOWER(SUBSTITUTE(SUBSTITUTE($K12," ",""),CHAR(160),""))),Verpleegkundigen!$B$2:$B$100)+IF($K12&lt;&gt;"",1,0))</f>
        <v/>
      </c>
      <c r="E12" s="69">
        <f>IF(F12&gt;D12,1,IF(F12=D12,0,-1))</f>
        <v>0</v>
      </c>
      <c r="F12" s="72" t="str">
        <f>IF(AND($J12="",$K12=""),"",SUMPRODUCT(--ISNUMBER(SEARCH(","&amp;Verpleegkundigen!$C$2:$C$100&amp;",",","&amp;LOWER(SUBSTITUTE(SUBSTITUTE($J12," ",""),CHAR(160),""))&amp;","))*(Verpleegkundigen!$C$2:$C$100&lt;&gt;LOWER(SUBSTITUTE(SUBSTITUTE($K12," ",""),CHAR(160),""))),Verpleegkundigen!$B$2:$B$100)+IF($K12&lt;&gt;"",1,0))</f>
        <v/>
      </c>
      <c r="G12" s="10" t="str">
        <f>IF(AND(C12&lt;&gt;"",D12&lt;&gt;"",C12&gt;D12),"+" &amp; TEXT(C12-D12,"0"),"")</f>
        <v/>
      </c>
      <c r="H12" s="4"/>
      <c r="I12" s="7">
        <f>IF($J12="",5,LEN($J12)-LEN(SUBSTITUTE($J12,",",""))+1)</f>
        <v>5</v>
      </c>
      <c r="J12" s="10"/>
      <c r="K12" s="10"/>
      <c r="L12" s="4"/>
    </row>
    <row r="13" spans="1:12" x14ac:dyDescent="0.25">
      <c r="A13" s="6">
        <v>46339</v>
      </c>
      <c r="B13" s="7" t="s">
        <v>18</v>
      </c>
      <c r="C13" s="7">
        <v>13</v>
      </c>
      <c r="D13" s="7" t="str">
        <f>IF(AND($J13="",$K13=""),"",SUMPRODUCT(--ISNUMBER(SEARCH(","&amp;Verpleegkundigen!$C$2:$C$100&amp;",",","&amp;LOWER(SUBSTITUTE(SUBSTITUTE($J13," ",""),CHAR(160),""))&amp;","))*(Verpleegkundigen!$C$2:$C$100&lt;&gt;LOWER(SUBSTITUTE(SUBSTITUTE($K13," ",""),CHAR(160),""))),Verpleegkundigen!$B$2:$B$100)+IF($K13&lt;&gt;"",1,0))</f>
        <v/>
      </c>
      <c r="E13" s="63">
        <f>IF(F13&gt;D13,1,IF(F13=D13,0,-1))</f>
        <v>0</v>
      </c>
      <c r="F13" s="92" t="str">
        <f>IF(AND($J13="",$K13=""),"",SUMPRODUCT(--ISNUMBER(SEARCH(","&amp;Verpleegkundigen!$C$2:$C$100&amp;",",","&amp;LOWER(SUBSTITUTE(SUBSTITUTE($J13," ",""),CHAR(160),""))&amp;","))*(Verpleegkundigen!$C$2:$C$100&lt;&gt;LOWER(SUBSTITUTE(SUBSTITUTE($K13," ",""),CHAR(160),""))),Verpleegkundigen!$B$2:$B$100)+IF($K13&lt;&gt;"",1,0))</f>
        <v/>
      </c>
      <c r="G13" s="7" t="str">
        <f>IF(AND(C13&lt;&gt;"",D13&lt;&gt;"",C13&gt;D13),"+" &amp; TEXT(C13-D13,"0"),"")</f>
        <v/>
      </c>
      <c r="H13" s="8"/>
      <c r="I13" s="7">
        <f>IF($J13="",5,LEN($J13)-LEN(SUBSTITUTE($J13,",",""))+1)</f>
        <v>5</v>
      </c>
      <c r="J13" s="7"/>
      <c r="K13" s="7"/>
      <c r="L13" s="8"/>
    </row>
    <row r="14" spans="1:12" x14ac:dyDescent="0.25">
      <c r="A14" s="3" t="s">
        <v>25</v>
      </c>
      <c r="B14" s="4"/>
      <c r="C14" s="4"/>
      <c r="D14" s="4"/>
      <c r="E14" s="69"/>
      <c r="F14" s="72" t="str">
        <f>IF(AND($J14="",$K14=""),"",SUMPRODUCT(--ISNUMBER(SEARCH(","&amp;Verpleegkundigen!$C$2:$C$100&amp;",",","&amp;LOWER(SUBSTITUTE(SUBSTITUTE($J14," ",""),CHAR(160),""))&amp;","))*(Verpleegkundigen!$C$2:$C$100&lt;&gt;LOWER(SUBSTITUTE(SUBSTITUTE($K14," ",""),CHAR(160),""))),Verpleegkundigen!$B$2:$B$100)+IF($K14&lt;&gt;"",1,0))</f>
        <v/>
      </c>
      <c r="G14" s="4"/>
      <c r="H14" s="4"/>
      <c r="I14" s="5"/>
      <c r="J14" s="4"/>
      <c r="K14" s="4"/>
      <c r="L14" s="4"/>
    </row>
    <row r="15" spans="1:12" x14ac:dyDescent="0.25">
      <c r="A15" s="6">
        <v>46342</v>
      </c>
      <c r="B15" s="7" t="s">
        <v>10</v>
      </c>
      <c r="C15" s="7">
        <v>6</v>
      </c>
      <c r="D15" s="7" t="str">
        <f>IF(AND($J15="",$K15=""),"",SUMPRODUCT(--ISNUMBER(SEARCH(","&amp;Verpleegkundigen!$C$2:$C$100&amp;",",","&amp;LOWER(SUBSTITUTE(SUBSTITUTE($J15," ",""),CHAR(160),""))&amp;","))*(Verpleegkundigen!$C$2:$C$100&lt;&gt;LOWER(SUBSTITUTE(SUBSTITUTE($K15," ",""),CHAR(160),""))),Verpleegkundigen!$B$2:$B$100)+IF($K15&lt;&gt;"",1,0))</f>
        <v/>
      </c>
      <c r="E15" s="67">
        <f>IF(F15&gt;D15,1,IF(F15=D15,0,-1))</f>
        <v>0</v>
      </c>
      <c r="F15" s="92" t="str">
        <f>IF(AND($J15="",$K15=""),"",SUMPRODUCT(--ISNUMBER(SEARCH(","&amp;Verpleegkundigen!$C$2:$C$100&amp;",",","&amp;LOWER(SUBSTITUTE(SUBSTITUTE($J15," ",""),CHAR(160),""))&amp;","))*(Verpleegkundigen!$C$2:$C$100&lt;&gt;LOWER(SUBSTITUTE(SUBSTITUTE($K15," ",""),CHAR(160),""))),Verpleegkundigen!$B$2:$B$100)+IF($K15&lt;&gt;"",1,0))</f>
        <v/>
      </c>
      <c r="G15" s="7" t="str">
        <f>IF(AND(C15&lt;&gt;"",D15&lt;&gt;"",C15&gt;D15),"+" &amp; TEXT(C15-D15,"0"),"")</f>
        <v/>
      </c>
      <c r="H15" s="8"/>
      <c r="I15" s="7">
        <f>IF($J15="",5,LEN($J15)-LEN(SUBSTITUTE($J15,",",""))+1)</f>
        <v>5</v>
      </c>
      <c r="J15" s="7"/>
      <c r="K15" s="7"/>
      <c r="L15" s="8"/>
    </row>
    <row r="16" spans="1:12" x14ac:dyDescent="0.25">
      <c r="A16" s="9">
        <v>46343</v>
      </c>
      <c r="B16" s="10" t="s">
        <v>12</v>
      </c>
      <c r="C16" s="10">
        <v>1</v>
      </c>
      <c r="D16" s="10" t="str">
        <f>IF(AND($J16="",$K16=""),"",SUMPRODUCT(--ISNUMBER(SEARCH(","&amp;Verpleegkundigen!$C$2:$C$100&amp;",",","&amp;LOWER(SUBSTITUTE(SUBSTITUTE($J16," ",""),CHAR(160),""))&amp;","))*(Verpleegkundigen!$C$2:$C$100&lt;&gt;LOWER(SUBSTITUTE(SUBSTITUTE($K16," ",""),CHAR(160),""))),Verpleegkundigen!$B$2:$B$100)+IF($K16&lt;&gt;"",1,0))</f>
        <v/>
      </c>
      <c r="E16" s="69">
        <f>IF(F16&gt;D16,1,IF(F16=D16,0,-1))</f>
        <v>0</v>
      </c>
      <c r="F16" s="72" t="str">
        <f>IF(AND($J16="",$K16=""),"",SUMPRODUCT(--ISNUMBER(SEARCH(","&amp;Verpleegkundigen!$C$2:$C$100&amp;",",","&amp;LOWER(SUBSTITUTE(SUBSTITUTE($J16," ",""),CHAR(160),""))&amp;","))*(Verpleegkundigen!$C$2:$C$100&lt;&gt;LOWER(SUBSTITUTE(SUBSTITUTE($K16," ",""),CHAR(160),""))),Verpleegkundigen!$B$2:$B$100)+IF($K16&lt;&gt;"",1,0))</f>
        <v/>
      </c>
      <c r="G16" s="10" t="str">
        <f>IF(AND(C16&lt;&gt;"",D16&lt;&gt;"",C16&gt;D16),"+" &amp; TEXT(C16-D16,"0"),"")</f>
        <v/>
      </c>
      <c r="H16" s="4"/>
      <c r="I16" s="7">
        <f>IF($J16="",5,LEN($J16)-LEN(SUBSTITUTE($J16,",",""))+1)</f>
        <v>5</v>
      </c>
      <c r="J16" s="10"/>
      <c r="K16" s="10"/>
      <c r="L16" s="4"/>
    </row>
    <row r="17" spans="1:12" x14ac:dyDescent="0.25">
      <c r="A17" s="6">
        <v>46344</v>
      </c>
      <c r="B17" s="7" t="s">
        <v>14</v>
      </c>
      <c r="C17" s="7">
        <v>1</v>
      </c>
      <c r="D17" s="7" t="str">
        <f>IF(AND($J17="",$K17=""),"",SUMPRODUCT(--ISNUMBER(SEARCH(","&amp;Verpleegkundigen!$C$2:$C$100&amp;",",","&amp;LOWER(SUBSTITUTE(SUBSTITUTE($J17," ",""),CHAR(160),""))&amp;","))*(Verpleegkundigen!$C$2:$C$100&lt;&gt;LOWER(SUBSTITUTE(SUBSTITUTE($K17," ",""),CHAR(160),""))),Verpleegkundigen!$B$2:$B$100)+IF($K17&lt;&gt;"",1,0))</f>
        <v/>
      </c>
      <c r="E17" s="63">
        <f>IF(F17&gt;D17,1,IF(F17=D17,0,-1))</f>
        <v>0</v>
      </c>
      <c r="F17" s="92" t="str">
        <f>IF(AND($J17="",$K17=""),"",SUMPRODUCT(--ISNUMBER(SEARCH(","&amp;Verpleegkundigen!$C$2:$C$100&amp;",",","&amp;LOWER(SUBSTITUTE(SUBSTITUTE($J17," ",""),CHAR(160),""))&amp;","))*(Verpleegkundigen!$C$2:$C$100&lt;&gt;LOWER(SUBSTITUTE(SUBSTITUTE($K17," ",""),CHAR(160),""))),Verpleegkundigen!$B$2:$B$100)+IF($K17&lt;&gt;"",1,0))</f>
        <v/>
      </c>
      <c r="G17" s="7" t="str">
        <f>IF(AND(C17&lt;&gt;"",D17&lt;&gt;"",C17&gt;D17),"+" &amp; TEXT(C17-D17,"0"),"")</f>
        <v/>
      </c>
      <c r="H17" s="8"/>
      <c r="I17" s="7">
        <f>IF($J17="",5,LEN($J17)-LEN(SUBSTITUTE($J17,",",""))+1)</f>
        <v>5</v>
      </c>
      <c r="J17" s="7"/>
      <c r="K17" s="7"/>
      <c r="L17" s="8"/>
    </row>
    <row r="18" spans="1:12" x14ac:dyDescent="0.25">
      <c r="A18" s="9">
        <v>46345</v>
      </c>
      <c r="B18" s="10" t="s">
        <v>16</v>
      </c>
      <c r="C18" s="10">
        <v>1</v>
      </c>
      <c r="D18" s="10" t="str">
        <f>IF(AND($J18="",$K18=""),"",SUMPRODUCT(--ISNUMBER(SEARCH(","&amp;Verpleegkundigen!$C$2:$C$100&amp;",",","&amp;LOWER(SUBSTITUTE(SUBSTITUTE($J18," ",""),CHAR(160),""))&amp;","))*(Verpleegkundigen!$C$2:$C$100&lt;&gt;LOWER(SUBSTITUTE(SUBSTITUTE($K18," ",""),CHAR(160),""))),Verpleegkundigen!$B$2:$B$100)+IF($K18&lt;&gt;"",1,0))</f>
        <v/>
      </c>
      <c r="E18" s="69">
        <f>IF(F18&gt;D18,1,IF(F18=D18,0,-1))</f>
        <v>0</v>
      </c>
      <c r="F18" s="72" t="str">
        <f>IF(AND($J18="",$K18=""),"",SUMPRODUCT(--ISNUMBER(SEARCH(","&amp;Verpleegkundigen!$C$2:$C$100&amp;",",","&amp;LOWER(SUBSTITUTE(SUBSTITUTE($J18," ",""),CHAR(160),""))&amp;","))*(Verpleegkundigen!$C$2:$C$100&lt;&gt;LOWER(SUBSTITUTE(SUBSTITUTE($K18," ",""),CHAR(160),""))),Verpleegkundigen!$B$2:$B$100)+IF($K18&lt;&gt;"",1,0))</f>
        <v/>
      </c>
      <c r="G18" s="10" t="str">
        <f>IF(AND(C18&lt;&gt;"",D18&lt;&gt;"",C18&gt;D18),"+" &amp; TEXT(C18-D18,"0"),"")</f>
        <v/>
      </c>
      <c r="H18" s="4"/>
      <c r="I18" s="7">
        <f>IF($J18="",5,LEN($J18)-LEN(SUBSTITUTE($J18,",",""))+1)</f>
        <v>5</v>
      </c>
      <c r="J18" s="10"/>
      <c r="K18" s="10"/>
      <c r="L18" s="4"/>
    </row>
    <row r="19" spans="1:12" x14ac:dyDescent="0.25">
      <c r="A19" s="6">
        <v>46346</v>
      </c>
      <c r="B19" s="7" t="s">
        <v>18</v>
      </c>
      <c r="C19" s="7">
        <v>1</v>
      </c>
      <c r="D19" s="7" t="str">
        <f>IF(AND($J19="",$K19=""),"",SUMPRODUCT(--ISNUMBER(SEARCH(","&amp;Verpleegkundigen!$C$2:$C$100&amp;",",","&amp;LOWER(SUBSTITUTE(SUBSTITUTE($J19," ",""),CHAR(160),""))&amp;","))*(Verpleegkundigen!$C$2:$C$100&lt;&gt;LOWER(SUBSTITUTE(SUBSTITUTE($K19," ",""),CHAR(160),""))),Verpleegkundigen!$B$2:$B$100)+IF($K19&lt;&gt;"",1,0))</f>
        <v/>
      </c>
      <c r="E19" s="63">
        <f>IF(F19&gt;D19,1,IF(F19=D19,0,-1))</f>
        <v>0</v>
      </c>
      <c r="F19" s="92" t="str">
        <f>IF(AND($J19="",$K19=""),"",SUMPRODUCT(--ISNUMBER(SEARCH(","&amp;Verpleegkundigen!$C$2:$C$100&amp;",",","&amp;LOWER(SUBSTITUTE(SUBSTITUTE($J19," ",""),CHAR(160),""))&amp;","))*(Verpleegkundigen!$C$2:$C$100&lt;&gt;LOWER(SUBSTITUTE(SUBSTITUTE($K19," ",""),CHAR(160),""))),Verpleegkundigen!$B$2:$B$100)+IF($K19&lt;&gt;"",1,0))</f>
        <v/>
      </c>
      <c r="G19" s="7" t="str">
        <f>IF(AND(C19&lt;&gt;"",D19&lt;&gt;"",C19&gt;D19),"+" &amp; TEXT(C19-D19,"0"),"")</f>
        <v/>
      </c>
      <c r="H19" s="8"/>
      <c r="I19" s="7">
        <f>IF($J19="",5,LEN($J19)-LEN(SUBSTITUTE($J19,",",""))+1)</f>
        <v>5</v>
      </c>
      <c r="J19" s="7"/>
      <c r="K19" s="7"/>
      <c r="L19" s="8"/>
    </row>
    <row r="20" spans="1:12" x14ac:dyDescent="0.25">
      <c r="A20" s="3" t="s">
        <v>31</v>
      </c>
      <c r="B20" s="4"/>
      <c r="C20" s="4"/>
      <c r="D20" s="4"/>
      <c r="E20" s="69"/>
      <c r="F20" s="72" t="str">
        <f>IF(AND($J20="",$K20=""),"",SUMPRODUCT(--ISNUMBER(SEARCH(","&amp;Verpleegkundigen!$C$2:$C$100&amp;",",","&amp;LOWER(SUBSTITUTE(SUBSTITUTE($J20," ",""),CHAR(160),""))&amp;","))*(Verpleegkundigen!$C$2:$C$100&lt;&gt;LOWER(SUBSTITUTE(SUBSTITUTE($K20," ",""),CHAR(160),""))),Verpleegkundigen!$B$2:$B$100)+IF($K20&lt;&gt;"",1,0))</f>
        <v/>
      </c>
      <c r="G20" s="4"/>
      <c r="H20" s="4"/>
      <c r="I20" s="5"/>
      <c r="J20" s="4"/>
      <c r="K20" s="4"/>
      <c r="L20" s="4"/>
    </row>
    <row r="21" spans="1:12" x14ac:dyDescent="0.25">
      <c r="A21" s="6">
        <v>46349</v>
      </c>
      <c r="B21" s="7" t="s">
        <v>10</v>
      </c>
      <c r="C21" s="7">
        <v>0</v>
      </c>
      <c r="D21" s="7" t="str">
        <f>IF(AND($J21="",$K21=""),"",SUMPRODUCT(--ISNUMBER(SEARCH(","&amp;Verpleegkundigen!$C$2:$C$100&amp;",",","&amp;LOWER(SUBSTITUTE(SUBSTITUTE($J21," ",""),CHAR(160),""))&amp;","))*(Verpleegkundigen!$C$2:$C$100&lt;&gt;LOWER(SUBSTITUTE(SUBSTITUTE($K21," ",""),CHAR(160),""))),Verpleegkundigen!$B$2:$B$100)+IF($K21&lt;&gt;"",1,0))</f>
        <v/>
      </c>
      <c r="E21" s="63">
        <f>IF(F21&gt;D21,1,IF(F21=D21,0,-1))</f>
        <v>0</v>
      </c>
      <c r="F21" s="92" t="str">
        <f>IF(AND($J21="",$K21=""),"",SUMPRODUCT(--ISNUMBER(SEARCH(","&amp;Verpleegkundigen!$C$2:$C$100&amp;",",","&amp;LOWER(SUBSTITUTE(SUBSTITUTE($J21," ",""),CHAR(160),""))&amp;","))*(Verpleegkundigen!$C$2:$C$100&lt;&gt;LOWER(SUBSTITUTE(SUBSTITUTE($K21," ",""),CHAR(160),""))),Verpleegkundigen!$B$2:$B$100)+IF($K21&lt;&gt;"",1,0))</f>
        <v/>
      </c>
      <c r="G21" s="7" t="str">
        <f>IF(AND(C21&lt;&gt;"",D21&lt;&gt;"",C21&gt;D21),"+" &amp; TEXT(C21-D21,"0"),"")</f>
        <v/>
      </c>
      <c r="H21" s="8"/>
      <c r="I21" s="7">
        <f>IF($J21="",5,LEN($J21)-LEN(SUBSTITUTE($J21,",",""))+1)</f>
        <v>5</v>
      </c>
      <c r="J21" s="7"/>
      <c r="K21" s="7"/>
      <c r="L21" s="8"/>
    </row>
    <row r="22" spans="1:12" x14ac:dyDescent="0.25">
      <c r="A22" s="9">
        <v>46350</v>
      </c>
      <c r="B22" s="10" t="s">
        <v>12</v>
      </c>
      <c r="C22" s="10">
        <v>0</v>
      </c>
      <c r="D22" s="10" t="str">
        <f>IF(AND($J22="",$K22=""),"",SUMPRODUCT(--ISNUMBER(SEARCH(","&amp;Verpleegkundigen!$C$2:$C$100&amp;",",","&amp;LOWER(SUBSTITUTE(SUBSTITUTE($J22," ",""),CHAR(160),""))&amp;","))*(Verpleegkundigen!$C$2:$C$100&lt;&gt;LOWER(SUBSTITUTE(SUBSTITUTE($K22," ",""),CHAR(160),""))),Verpleegkundigen!$B$2:$B$100)+IF($K22&lt;&gt;"",1,0))</f>
        <v/>
      </c>
      <c r="E22" s="69">
        <f>IF(F22&gt;D22,1,IF(F22=D22,0,-1))</f>
        <v>0</v>
      </c>
      <c r="F22" s="72" t="str">
        <f>IF(AND($J22="",$K22=""),"",SUMPRODUCT(--ISNUMBER(SEARCH(","&amp;Verpleegkundigen!$C$2:$C$100&amp;",",","&amp;LOWER(SUBSTITUTE(SUBSTITUTE($J22," ",""),CHAR(160),""))&amp;","))*(Verpleegkundigen!$C$2:$C$100&lt;&gt;LOWER(SUBSTITUTE(SUBSTITUTE($K22," ",""),CHAR(160),""))),Verpleegkundigen!$B$2:$B$100)+IF($K22&lt;&gt;"",1,0))</f>
        <v/>
      </c>
      <c r="G22" s="10" t="str">
        <f>IF(AND(C22&lt;&gt;"",D22&lt;&gt;"",C22&gt;D22),"+" &amp; TEXT(C22-D22,"0"),"")</f>
        <v/>
      </c>
      <c r="H22" s="4"/>
      <c r="I22" s="7">
        <f>IF($J22="",5,LEN($J22)-LEN(SUBSTITUTE($J22,",",""))+1)</f>
        <v>5</v>
      </c>
      <c r="J22" s="10"/>
      <c r="K22" s="10"/>
      <c r="L22" s="4"/>
    </row>
    <row r="23" spans="1:12" x14ac:dyDescent="0.25">
      <c r="A23" s="6">
        <v>46351</v>
      </c>
      <c r="B23" s="7" t="s">
        <v>14</v>
      </c>
      <c r="C23" s="7">
        <v>1</v>
      </c>
      <c r="D23" s="7" t="str">
        <f>IF(AND($J23="",$K23=""),"",SUMPRODUCT(--ISNUMBER(SEARCH(","&amp;Verpleegkundigen!$C$2:$C$100&amp;",",","&amp;LOWER(SUBSTITUTE(SUBSTITUTE($J23," ",""),CHAR(160),""))&amp;","))*(Verpleegkundigen!$C$2:$C$100&lt;&gt;LOWER(SUBSTITUTE(SUBSTITUTE($K23," ",""),CHAR(160),""))),Verpleegkundigen!$B$2:$B$100)+IF($K23&lt;&gt;"",1,0))</f>
        <v/>
      </c>
      <c r="E23" s="63">
        <f>IF(F23&gt;D23,1,IF(F23=D23,0,-1))</f>
        <v>0</v>
      </c>
      <c r="F23" s="92" t="str">
        <f>IF(AND($J23="",$K23=""),"",SUMPRODUCT(--ISNUMBER(SEARCH(","&amp;Verpleegkundigen!$C$2:$C$100&amp;",",","&amp;LOWER(SUBSTITUTE(SUBSTITUTE($J23," ",""),CHAR(160),""))&amp;","))*(Verpleegkundigen!$C$2:$C$100&lt;&gt;LOWER(SUBSTITUTE(SUBSTITUTE($K23," ",""),CHAR(160),""))),Verpleegkundigen!$B$2:$B$100)+IF($K23&lt;&gt;"",1,0))</f>
        <v/>
      </c>
      <c r="G23" s="7" t="str">
        <f>IF(AND(C23&lt;&gt;"",D23&lt;&gt;"",C23&gt;D23),"+" &amp; TEXT(C23-D23,"0"),"")</f>
        <v/>
      </c>
      <c r="H23" s="8"/>
      <c r="I23" s="7">
        <f>IF($J23="",5,LEN($J23)-LEN(SUBSTITUTE($J23,",",""))+1)</f>
        <v>5</v>
      </c>
      <c r="J23" s="7"/>
      <c r="K23" s="7"/>
      <c r="L23" s="8"/>
    </row>
    <row r="24" spans="1:12" x14ac:dyDescent="0.25">
      <c r="A24" s="9">
        <v>46352</v>
      </c>
      <c r="B24" s="10" t="s">
        <v>16</v>
      </c>
      <c r="C24" s="10">
        <v>0</v>
      </c>
      <c r="D24" s="10" t="str">
        <f>IF(AND($J24="",$K24=""),"",SUMPRODUCT(--ISNUMBER(SEARCH(","&amp;Verpleegkundigen!$C$2:$C$100&amp;",",","&amp;LOWER(SUBSTITUTE(SUBSTITUTE($J24," ",""),CHAR(160),""))&amp;","))*(Verpleegkundigen!$C$2:$C$100&lt;&gt;LOWER(SUBSTITUTE(SUBSTITUTE($K24," ",""),CHAR(160),""))),Verpleegkundigen!$B$2:$B$100)+IF($K24&lt;&gt;"",1,0))</f>
        <v/>
      </c>
      <c r="E24" s="69">
        <f>IF(F24&gt;D24,1,IF(F24=D24,0,-1))</f>
        <v>0</v>
      </c>
      <c r="F24" s="72" t="str">
        <f>IF(AND($J24="",$K24=""),"",SUMPRODUCT(--ISNUMBER(SEARCH(","&amp;Verpleegkundigen!$C$2:$C$100&amp;",",","&amp;LOWER(SUBSTITUTE(SUBSTITUTE($J24," ",""),CHAR(160),""))&amp;","))*(Verpleegkundigen!$C$2:$C$100&lt;&gt;LOWER(SUBSTITUTE(SUBSTITUTE($K24," ",""),CHAR(160),""))),Verpleegkundigen!$B$2:$B$100)+IF($K24&lt;&gt;"",1,0))</f>
        <v/>
      </c>
      <c r="G24" s="10" t="str">
        <f>IF(AND(C24&lt;&gt;"",D24&lt;&gt;"",C24&gt;D24),"+" &amp; TEXT(C24-D24,"0"),"")</f>
        <v/>
      </c>
      <c r="H24" s="4"/>
      <c r="I24" s="7">
        <f>IF($J24="",5,LEN($J24)-LEN(SUBSTITUTE($J24,",",""))+1)</f>
        <v>5</v>
      </c>
      <c r="J24" s="10"/>
      <c r="K24" s="10"/>
      <c r="L24" s="4"/>
    </row>
    <row r="25" spans="1:12" x14ac:dyDescent="0.25">
      <c r="A25" s="6">
        <v>46353</v>
      </c>
      <c r="B25" s="7" t="s">
        <v>18</v>
      </c>
      <c r="C25" s="7">
        <v>0</v>
      </c>
      <c r="D25" s="7" t="str">
        <f>IF(AND($J25="",$K25=""),"",SUMPRODUCT(--ISNUMBER(SEARCH(","&amp;Verpleegkundigen!$C$2:$C$100&amp;",",","&amp;LOWER(SUBSTITUTE(SUBSTITUTE($J25," ",""),CHAR(160),""))&amp;","))*(Verpleegkundigen!$C$2:$C$100&lt;&gt;LOWER(SUBSTITUTE(SUBSTITUTE($K25," ",""),CHAR(160),""))),Verpleegkundigen!$B$2:$B$100)+IF($K25&lt;&gt;"",1,0))</f>
        <v/>
      </c>
      <c r="E25" s="63">
        <f>IF(F25&gt;D25,1,IF(F25=D25,0,-1))</f>
        <v>0</v>
      </c>
      <c r="F25" s="92" t="str">
        <f>IF(AND($J25="",$K25=""),"",SUMPRODUCT(--ISNUMBER(SEARCH(","&amp;Verpleegkundigen!$C$2:$C$100&amp;",",","&amp;LOWER(SUBSTITUTE(SUBSTITUTE($J25," ",""),CHAR(160),""))&amp;","))*(Verpleegkundigen!$C$2:$C$100&lt;&gt;LOWER(SUBSTITUTE(SUBSTITUTE($K25," ",""),CHAR(160),""))),Verpleegkundigen!$B$2:$B$100)+IF($K25&lt;&gt;"",1,0))</f>
        <v/>
      </c>
      <c r="G25" s="7" t="str">
        <f>IF(AND(C25&lt;&gt;"",D25&lt;&gt;"",C25&gt;D25),"+" &amp; TEXT(C25-D25,"0"),"")</f>
        <v/>
      </c>
      <c r="H25" s="8"/>
      <c r="I25" s="7">
        <f>IF($J25="",5,LEN($J25)-LEN(SUBSTITUTE($J25,",",""))+1)</f>
        <v>5</v>
      </c>
      <c r="J25" s="7"/>
      <c r="K25" s="7"/>
      <c r="L25" s="8"/>
    </row>
    <row r="26" spans="1:12" x14ac:dyDescent="0.25">
      <c r="A26" s="3" t="s">
        <v>36</v>
      </c>
      <c r="B26" s="4"/>
      <c r="C26" s="4"/>
      <c r="D26" s="4"/>
      <c r="E26" s="69"/>
      <c r="F26" s="72" t="str">
        <f>IF(AND($J26="",$K26=""),"",SUMPRODUCT(--ISNUMBER(SEARCH(","&amp;Verpleegkundigen!$C$2:$C$100&amp;",",","&amp;LOWER(SUBSTITUTE(SUBSTITUTE($J26," ",""),CHAR(160),""))&amp;","))*(Verpleegkundigen!$C$2:$C$100&lt;&gt;LOWER(SUBSTITUTE(SUBSTITUTE($K26," ",""),CHAR(160),""))),Verpleegkundigen!$B$2:$B$100)+IF($K26&lt;&gt;"",1,0))</f>
        <v/>
      </c>
      <c r="G26" s="4"/>
      <c r="H26" s="4"/>
      <c r="I26" s="5"/>
      <c r="J26" s="4"/>
      <c r="K26" s="4"/>
      <c r="L26" s="4"/>
    </row>
    <row r="27" spans="1:12" x14ac:dyDescent="0.25">
      <c r="A27" s="6">
        <v>46356</v>
      </c>
      <c r="B27" s="7" t="s">
        <v>10</v>
      </c>
      <c r="C27" s="7">
        <v>0</v>
      </c>
      <c r="D27" s="7" t="str">
        <f>IF(AND($J27="",$K27=""),"",SUMPRODUCT(--ISNUMBER(SEARCH(","&amp;Verpleegkundigen!$C$2:$C$100&amp;",",","&amp;LOWER(SUBSTITUTE(SUBSTITUTE($J27," ",""),CHAR(160),""))&amp;","))*(Verpleegkundigen!$C$2:$C$100&lt;&gt;LOWER(SUBSTITUTE(SUBSTITUTE($K27," ",""),CHAR(160),""))),Verpleegkundigen!$B$2:$B$100)+IF($K27&lt;&gt;"",1,0))</f>
        <v/>
      </c>
      <c r="E27" s="63">
        <f>IF(F27&gt;D27,1,IF(F27=D27,0,-1))</f>
        <v>0</v>
      </c>
      <c r="F27" s="92" t="str">
        <f>IF(AND($J27="",$K27=""),"",SUMPRODUCT(--ISNUMBER(SEARCH(","&amp;Verpleegkundigen!$C$2:$C$100&amp;",",","&amp;LOWER(SUBSTITUTE(SUBSTITUTE($J27," ",""),CHAR(160),""))&amp;","))*(Verpleegkundigen!$C$2:$C$100&lt;&gt;LOWER(SUBSTITUTE(SUBSTITUTE($K27," ",""),CHAR(160),""))),Verpleegkundigen!$B$2:$B$100)+IF($K27&lt;&gt;"",1,0))</f>
        <v/>
      </c>
      <c r="G27" s="7" t="str">
        <f>IF(AND(C27&lt;&gt;"",D27&lt;&gt;"",C27&gt;D27),"+" &amp; TEXT(C27-D27,"0"),"")</f>
        <v/>
      </c>
      <c r="H27" s="8"/>
      <c r="I27" s="7">
        <f>IF($J27="",5,LEN($J27)-LEN(SUBSTITUTE($J27,",",""))+1)</f>
        <v>5</v>
      </c>
      <c r="J27" s="7"/>
      <c r="K27" s="7"/>
      <c r="L27" s="8"/>
    </row>
    <row r="28" spans="1:12" x14ac:dyDescent="0.25">
      <c r="E28" s="67"/>
    </row>
  </sheetData>
  <conditionalFormatting sqref="C3:C27">
    <cfRule type="expression" dxfId="47" priority="32">
      <formula>AND(ISNUMBER($C3),ISNUMBER($D3),$C3&lt;0.8*$D3)</formula>
    </cfRule>
    <cfRule type="expression" dxfId="46" priority="33">
      <formula>AND(ISNUMBER($C3),ISNUMBER($D3),$C3&gt;=0.8*$D3,$C3&lt;$D3)</formula>
    </cfRule>
    <cfRule type="expression" dxfId="45" priority="34">
      <formula>AND(ISNUMBER($C3),ISNUMBER($D3),$C3&gt;=$D3)</formula>
    </cfRule>
  </conditionalFormatting>
  <conditionalFormatting sqref="I3:I27">
    <cfRule type="expression" dxfId="44" priority="29">
      <formula>$I3=2</formula>
    </cfRule>
    <cfRule type="expression" dxfId="43" priority="30">
      <formula>OR($I3=3,$I3=4)</formula>
    </cfRule>
    <cfRule type="expression" dxfId="42" priority="31">
      <formula>$I3&gt;=5</formula>
    </cfRule>
  </conditionalFormatting>
  <pageMargins left="0.75" right="0.75" top="1" bottom="1" header="0.5" footer="0.5"/>
  <ignoredErrors>
    <ignoredError sqref="E3:E7 E27 E21:E25 E15:E19 E9:E13" formula="1"/>
  </ignoredErrors>
  <extLst>
    <ext xmlns:x14="http://schemas.microsoft.com/office/spreadsheetml/2009/9/main" uri="{78C0D931-6437-407d-A8EE-F0AAD7539E65}">
      <x14:conditionalFormattings>
        <x14:conditionalFormatting xmlns:xm="http://schemas.microsoft.com/office/excel/2006/main">
          <x14:cfRule type="iconSet" priority="22" id="{9545EF89-CF59-4E0D-9F50-3F10D7984B8B}">
            <x14:iconSet iconSet="3Triangles" showValue="0">
              <x14:cfvo type="percent">
                <xm:f>0</xm:f>
              </x14:cfvo>
              <x14:cfvo type="formula">
                <xm:f>0</xm:f>
              </x14:cfvo>
              <x14:cfvo type="formula">
                <xm:f>1</xm:f>
              </x14:cfvo>
            </x14:iconSet>
          </x14:cfRule>
          <xm:sqref>E3 E21 E15 E9 E7</xm:sqref>
        </x14:conditionalFormatting>
        <x14:conditionalFormatting xmlns:xm="http://schemas.microsoft.com/office/excel/2006/main">
          <x14:cfRule type="iconSet" priority="21" id="{5E518080-8FC1-420D-B129-CA6AA278B3F7}">
            <x14:iconSet iconSet="3Triangles" showValue="0">
              <x14:cfvo type="percent">
                <xm:f>0</xm:f>
              </x14:cfvo>
              <x14:cfvo type="formula">
                <xm:f>0</xm:f>
              </x14:cfvo>
              <x14:cfvo type="formula">
                <xm:f>1</xm:f>
              </x14:cfvo>
            </x14:iconSet>
          </x14:cfRule>
          <xm:sqref>E27</xm:sqref>
        </x14:conditionalFormatting>
        <x14:conditionalFormatting xmlns:xm="http://schemas.microsoft.com/office/excel/2006/main">
          <x14:cfRule type="iconSet" priority="20" id="{1F5D6D63-2DD9-4C63-88D0-417D93BFF5EA}">
            <x14:iconSet iconSet="3Triangles" showValue="0">
              <x14:cfvo type="percent">
                <xm:f>0</xm:f>
              </x14:cfvo>
              <x14:cfvo type="formula">
                <xm:f>0</xm:f>
              </x14:cfvo>
              <x14:cfvo type="formula">
                <xm:f>1</xm:f>
              </x14:cfvo>
            </x14:iconSet>
          </x14:cfRule>
          <xm:sqref>E22</xm:sqref>
        </x14:conditionalFormatting>
        <x14:conditionalFormatting xmlns:xm="http://schemas.microsoft.com/office/excel/2006/main">
          <x14:cfRule type="iconSet" priority="19" id="{E8FBD177-F5EB-4255-8032-1200FBFF40A3}">
            <x14:iconSet iconSet="3Triangles" showValue="0">
              <x14:cfvo type="percent">
                <xm:f>0</xm:f>
              </x14:cfvo>
              <x14:cfvo type="formula">
                <xm:f>0</xm:f>
              </x14:cfvo>
              <x14:cfvo type="formula">
                <xm:f>1</xm:f>
              </x14:cfvo>
            </x14:iconSet>
          </x14:cfRule>
          <xm:sqref>E16</xm:sqref>
        </x14:conditionalFormatting>
        <x14:conditionalFormatting xmlns:xm="http://schemas.microsoft.com/office/excel/2006/main">
          <x14:cfRule type="iconSet" priority="18" id="{092A2C40-72CB-4B1B-A610-D2E50D3CFE14}">
            <x14:iconSet iconSet="3Triangles" showValue="0">
              <x14:cfvo type="percent">
                <xm:f>0</xm:f>
              </x14:cfvo>
              <x14:cfvo type="formula">
                <xm:f>0</xm:f>
              </x14:cfvo>
              <x14:cfvo type="formula">
                <xm:f>1</xm:f>
              </x14:cfvo>
            </x14:iconSet>
          </x14:cfRule>
          <xm:sqref>E10</xm:sqref>
        </x14:conditionalFormatting>
        <x14:conditionalFormatting xmlns:xm="http://schemas.microsoft.com/office/excel/2006/main">
          <x14:cfRule type="iconSet" priority="17" id="{54C060E1-2C84-46C9-B3CA-F71F0468D073}">
            <x14:iconSet iconSet="3Triangles" showValue="0">
              <x14:cfvo type="percent">
                <xm:f>0</xm:f>
              </x14:cfvo>
              <x14:cfvo type="formula">
                <xm:f>0</xm:f>
              </x14:cfvo>
              <x14:cfvo type="formula">
                <xm:f>1</xm:f>
              </x14:cfvo>
            </x14:iconSet>
          </x14:cfRule>
          <xm:sqref>E4</xm:sqref>
        </x14:conditionalFormatting>
        <x14:conditionalFormatting xmlns:xm="http://schemas.microsoft.com/office/excel/2006/main">
          <x14:cfRule type="iconSet" priority="16" id="{8DBE8864-DB45-4723-9D50-180F04FE2FD4}">
            <x14:iconSet iconSet="3Triangles" showValue="0">
              <x14:cfvo type="percent">
                <xm:f>0</xm:f>
              </x14:cfvo>
              <x14:cfvo type="formula">
                <xm:f>0</xm:f>
              </x14:cfvo>
              <x14:cfvo type="formula">
                <xm:f>1</xm:f>
              </x14:cfvo>
            </x14:iconSet>
          </x14:cfRule>
          <xm:sqref>E6</xm:sqref>
        </x14:conditionalFormatting>
        <x14:conditionalFormatting xmlns:xm="http://schemas.microsoft.com/office/excel/2006/main">
          <x14:cfRule type="iconSet" priority="15" id="{1E2E991B-C353-4152-AA35-DD58657C0B1E}">
            <x14:iconSet iconSet="3Triangles" showValue="0">
              <x14:cfvo type="percent">
                <xm:f>0</xm:f>
              </x14:cfvo>
              <x14:cfvo type="formula">
                <xm:f>0</xm:f>
              </x14:cfvo>
              <x14:cfvo type="formula">
                <xm:f>1</xm:f>
              </x14:cfvo>
            </x14:iconSet>
          </x14:cfRule>
          <xm:sqref>E12</xm:sqref>
        </x14:conditionalFormatting>
        <x14:conditionalFormatting xmlns:xm="http://schemas.microsoft.com/office/excel/2006/main">
          <x14:cfRule type="iconSet" priority="14" id="{CE548D34-01C9-4D1E-AB32-0F639284E985}">
            <x14:iconSet iconSet="3Triangles" showValue="0">
              <x14:cfvo type="percent">
                <xm:f>0</xm:f>
              </x14:cfvo>
              <x14:cfvo type="formula">
                <xm:f>0</xm:f>
              </x14:cfvo>
              <x14:cfvo type="formula">
                <xm:f>1</xm:f>
              </x14:cfvo>
            </x14:iconSet>
          </x14:cfRule>
          <xm:sqref>E18</xm:sqref>
        </x14:conditionalFormatting>
        <x14:conditionalFormatting xmlns:xm="http://schemas.microsoft.com/office/excel/2006/main">
          <x14:cfRule type="iconSet" priority="13" id="{94096C8A-C234-4F5D-ACF7-2761CAE788D8}">
            <x14:iconSet iconSet="3Triangles" showValue="0">
              <x14:cfvo type="percent">
                <xm:f>0</xm:f>
              </x14:cfvo>
              <x14:cfvo type="formula">
                <xm:f>0</xm:f>
              </x14:cfvo>
              <x14:cfvo type="formula">
                <xm:f>1</xm:f>
              </x14:cfvo>
            </x14:iconSet>
          </x14:cfRule>
          <xm:sqref>E24</xm:sqref>
        </x14:conditionalFormatting>
        <x14:conditionalFormatting xmlns:xm="http://schemas.microsoft.com/office/excel/2006/main">
          <x14:cfRule type="iconSet" priority="12" id="{BFACD6B7-5D05-4DF6-A453-09A744463246}">
            <x14:iconSet iconSet="3Triangles" showValue="0">
              <x14:cfvo type="percent">
                <xm:f>0</xm:f>
              </x14:cfvo>
              <x14:cfvo type="formula">
                <xm:f>0</xm:f>
              </x14:cfvo>
              <x14:cfvo type="formula">
                <xm:f>1</xm:f>
              </x14:cfvo>
            </x14:iconSet>
          </x14:cfRule>
          <xm:sqref>E14</xm:sqref>
        </x14:conditionalFormatting>
        <x14:conditionalFormatting xmlns:xm="http://schemas.microsoft.com/office/excel/2006/main">
          <x14:cfRule type="iconSet" priority="11" id="{E8A0B2F7-BB61-4D83-A3F5-97EC5B541F3E}">
            <x14:iconSet iconSet="3Triangles" showValue="0">
              <x14:cfvo type="percent">
                <xm:f>0</xm:f>
              </x14:cfvo>
              <x14:cfvo type="formula">
                <xm:f>0</xm:f>
              </x14:cfvo>
              <x14:cfvo type="formula">
                <xm:f>1</xm:f>
              </x14:cfvo>
            </x14:iconSet>
          </x14:cfRule>
          <xm:sqref>E20</xm:sqref>
        </x14:conditionalFormatting>
        <x14:conditionalFormatting xmlns:xm="http://schemas.microsoft.com/office/excel/2006/main">
          <x14:cfRule type="iconSet" priority="10" id="{5167DF53-86C1-4596-BA94-CBFE5DD977FA}">
            <x14:iconSet iconSet="3Triangles" showValue="0">
              <x14:cfvo type="percent">
                <xm:f>0</xm:f>
              </x14:cfvo>
              <x14:cfvo type="formula">
                <xm:f>0</xm:f>
              </x14:cfvo>
              <x14:cfvo type="formula">
                <xm:f>1</xm:f>
              </x14:cfvo>
            </x14:iconSet>
          </x14:cfRule>
          <xm:sqref>E26</xm:sqref>
        </x14:conditionalFormatting>
        <x14:conditionalFormatting xmlns:xm="http://schemas.microsoft.com/office/excel/2006/main">
          <x14:cfRule type="iconSet" priority="9" id="{AC2326EB-1FBA-481E-8E09-A7D6AB62A086}">
            <x14:iconSet iconSet="3Triangles" showValue="0">
              <x14:cfvo type="percent">
                <xm:f>0</xm:f>
              </x14:cfvo>
              <x14:cfvo type="formula">
                <xm:f>0</xm:f>
              </x14:cfvo>
              <x14:cfvo type="formula">
                <xm:f>1</xm:f>
              </x14:cfvo>
            </x14:iconSet>
          </x14:cfRule>
          <xm:sqref>E28</xm:sqref>
        </x14:conditionalFormatting>
        <x14:conditionalFormatting xmlns:xm="http://schemas.microsoft.com/office/excel/2006/main">
          <x14:cfRule type="iconSet" priority="8" id="{418E2A3A-A421-4DAC-81AE-8DB150D11C6D}">
            <x14:iconSet iconSet="3Triangles" showValue="0">
              <x14:cfvo type="percent">
                <xm:f>0</xm:f>
              </x14:cfvo>
              <x14:cfvo type="formula">
                <xm:f>0</xm:f>
              </x14:cfvo>
              <x14:cfvo type="formula">
                <xm:f>1</xm:f>
              </x14:cfvo>
            </x14:iconSet>
          </x14:cfRule>
          <xm:sqref>E8</xm:sqref>
        </x14:conditionalFormatting>
        <x14:conditionalFormatting xmlns:xm="http://schemas.microsoft.com/office/excel/2006/main">
          <x14:cfRule type="iconSet" priority="7" id="{639C7C33-86F3-48FA-A196-3C8386AD49D5}">
            <x14:iconSet iconSet="3Triangles" showValue="0">
              <x14:cfvo type="percent">
                <xm:f>0</xm:f>
              </x14:cfvo>
              <x14:cfvo type="formula">
                <xm:f>0</xm:f>
              </x14:cfvo>
              <x14:cfvo type="formula">
                <xm:f>1</xm:f>
              </x14:cfvo>
            </x14:iconSet>
          </x14:cfRule>
          <xm:sqref>E25</xm:sqref>
        </x14:conditionalFormatting>
        <x14:conditionalFormatting xmlns:xm="http://schemas.microsoft.com/office/excel/2006/main">
          <x14:cfRule type="iconSet" priority="6" id="{5A952E17-C55E-4185-81CA-20F2B1665AA4}">
            <x14:iconSet iconSet="3Triangles" showValue="0">
              <x14:cfvo type="percent">
                <xm:f>0</xm:f>
              </x14:cfvo>
              <x14:cfvo type="formula">
                <xm:f>0</xm:f>
              </x14:cfvo>
              <x14:cfvo type="formula">
                <xm:f>1</xm:f>
              </x14:cfvo>
            </x14:iconSet>
          </x14:cfRule>
          <xm:sqref>E19</xm:sqref>
        </x14:conditionalFormatting>
        <x14:conditionalFormatting xmlns:xm="http://schemas.microsoft.com/office/excel/2006/main">
          <x14:cfRule type="iconSet" priority="5" id="{381C37C6-9E3B-4C23-A12F-4DCD80201C02}">
            <x14:iconSet iconSet="3Triangles" showValue="0">
              <x14:cfvo type="percent">
                <xm:f>0</xm:f>
              </x14:cfvo>
              <x14:cfvo type="formula">
                <xm:f>0</xm:f>
              </x14:cfvo>
              <x14:cfvo type="formula">
                <xm:f>1</xm:f>
              </x14:cfvo>
            </x14:iconSet>
          </x14:cfRule>
          <xm:sqref>E13</xm:sqref>
        </x14:conditionalFormatting>
        <x14:conditionalFormatting xmlns:xm="http://schemas.microsoft.com/office/excel/2006/main">
          <x14:cfRule type="iconSet" priority="4" id="{66B9D823-F386-4CC0-BEB1-CB85898B9561}">
            <x14:iconSet iconSet="3Triangles" showValue="0">
              <x14:cfvo type="percent">
                <xm:f>0</xm:f>
              </x14:cfvo>
              <x14:cfvo type="formula">
                <xm:f>0</xm:f>
              </x14:cfvo>
              <x14:cfvo type="formula">
                <xm:f>1</xm:f>
              </x14:cfvo>
            </x14:iconSet>
          </x14:cfRule>
          <xm:sqref>E23</xm:sqref>
        </x14:conditionalFormatting>
        <x14:conditionalFormatting xmlns:xm="http://schemas.microsoft.com/office/excel/2006/main">
          <x14:cfRule type="iconSet" priority="3" id="{5B107ABB-0538-4551-BADC-7D06061D8DC7}">
            <x14:iconSet iconSet="3Triangles" showValue="0">
              <x14:cfvo type="percent">
                <xm:f>0</xm:f>
              </x14:cfvo>
              <x14:cfvo type="formula">
                <xm:f>0</xm:f>
              </x14:cfvo>
              <x14:cfvo type="formula">
                <xm:f>1</xm:f>
              </x14:cfvo>
            </x14:iconSet>
          </x14:cfRule>
          <xm:sqref>E17</xm:sqref>
        </x14:conditionalFormatting>
        <x14:conditionalFormatting xmlns:xm="http://schemas.microsoft.com/office/excel/2006/main">
          <x14:cfRule type="iconSet" priority="2" id="{76EF4D3C-3041-41D6-A4CC-E3EBA78F7E33}">
            <x14:iconSet iconSet="3Triangles" showValue="0">
              <x14:cfvo type="percent">
                <xm:f>0</xm:f>
              </x14:cfvo>
              <x14:cfvo type="formula">
                <xm:f>0</xm:f>
              </x14:cfvo>
              <x14:cfvo type="formula">
                <xm:f>1</xm:f>
              </x14:cfvo>
            </x14:iconSet>
          </x14:cfRule>
          <xm:sqref>E11</xm:sqref>
        </x14:conditionalFormatting>
        <x14:conditionalFormatting xmlns:xm="http://schemas.microsoft.com/office/excel/2006/main">
          <x14:cfRule type="iconSet" priority="1" id="{398377C6-F478-4DFB-9665-3106A33234A6}">
            <x14:iconSet iconSet="3Triangles" showValue="0">
              <x14:cfvo type="percent">
                <xm:f>0</xm:f>
              </x14:cfvo>
              <x14:cfvo type="formula">
                <xm:f>0</xm:f>
              </x14:cfvo>
              <x14:cfvo type="formula">
                <xm:f>1</xm:f>
              </x14:cfvo>
            </x14:iconSet>
          </x14:cfRule>
          <xm:sqref>E5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selection activeCell="E4" sqref="E4"/>
    </sheetView>
  </sheetViews>
  <sheetFormatPr defaultColWidth="8.85546875" defaultRowHeight="15" x14ac:dyDescent="0.25"/>
  <cols>
    <col min="1" max="1" width="12.7109375" customWidth="1"/>
    <col min="2" max="2" width="8.7109375" customWidth="1"/>
    <col min="3" max="3" width="18.7109375" customWidth="1"/>
    <col min="4" max="4" width="20.7109375" customWidth="1"/>
    <col min="5" max="5" width="3.28515625"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7109375" bestFit="1" customWidth="1"/>
  </cols>
  <sheetData>
    <row r="1" spans="1:12" x14ac:dyDescent="0.25">
      <c r="A1" s="1" t="s">
        <v>0</v>
      </c>
      <c r="B1" s="1" t="s">
        <v>1</v>
      </c>
      <c r="C1" s="1" t="s">
        <v>2</v>
      </c>
      <c r="D1" s="1" t="s">
        <v>3</v>
      </c>
      <c r="E1" s="1"/>
      <c r="F1" s="1" t="s">
        <v>146</v>
      </c>
      <c r="G1" s="1" t="s">
        <v>4</v>
      </c>
      <c r="H1" s="1" t="s">
        <v>5</v>
      </c>
      <c r="I1" s="1" t="s">
        <v>6</v>
      </c>
      <c r="J1" s="1" t="s">
        <v>7</v>
      </c>
      <c r="K1" s="1" t="s">
        <v>8</v>
      </c>
      <c r="L1" s="1" t="s">
        <v>148</v>
      </c>
    </row>
    <row r="2" spans="1:12" x14ac:dyDescent="0.25">
      <c r="A2" s="3" t="s">
        <v>36</v>
      </c>
      <c r="B2" s="4"/>
      <c r="C2" s="4"/>
      <c r="D2" s="4"/>
      <c r="E2" s="4"/>
      <c r="F2" s="10" t="str">
        <f>IF(AND($J2="",$K2=""),"",SUMPRODUCT(--ISNUMBER(SEARCH(","&amp;Verpleegkundigen!$C$2:$C$100&amp;",",","&amp;LOWER(SUBSTITUTE(SUBSTITUTE($J2," ",""),CHAR(160),""))&amp;","))*(Verpleegkundigen!$C$2:$C$100&lt;&gt;LOWER(SUBSTITUTE(SUBSTITUTE($K2," ",""),CHAR(160),""))),Verpleegkundigen!$B$2:$B$100)+IF($K2&lt;&gt;"",1,0))</f>
        <v/>
      </c>
      <c r="G2" s="4"/>
      <c r="H2" s="4"/>
      <c r="I2" s="5"/>
      <c r="J2" s="4"/>
      <c r="K2" s="4"/>
      <c r="L2" s="4"/>
    </row>
    <row r="3" spans="1:12" x14ac:dyDescent="0.25">
      <c r="A3" s="6">
        <v>46357</v>
      </c>
      <c r="B3" s="7" t="s">
        <v>12</v>
      </c>
      <c r="C3" s="7">
        <v>5</v>
      </c>
      <c r="D3" s="7" t="str">
        <f>IF(AND($J3="",$K3=""),"",SUMPRODUCT(--ISNUMBER(SEARCH(","&amp;Verpleegkundigen!$C$2:$C$100&amp;",",","&amp;LOWER(SUBSTITUTE(SUBSTITUTE($J3," ",""),CHAR(160),""))&amp;","))*(Verpleegkundigen!$C$2:$C$100&lt;&gt;LOWER(SUBSTITUTE(SUBSTITUTE($K3," ",""),CHAR(160),""))),Verpleegkundigen!$B$2:$B$100)+IF($K3&lt;&gt;"",1,0))</f>
        <v/>
      </c>
      <c r="E3" s="63">
        <f>IF(F3&gt;D3,1,IF(F3=D3,0,-1))</f>
        <v>0</v>
      </c>
      <c r="F3" s="92"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46358</v>
      </c>
      <c r="B4" s="10" t="s">
        <v>14</v>
      </c>
      <c r="C4" s="10">
        <v>5</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6">
        <v>46359</v>
      </c>
      <c r="B5" s="7" t="s">
        <v>16</v>
      </c>
      <c r="C5" s="7">
        <v>5</v>
      </c>
      <c r="D5" s="7" t="str">
        <f>IF(AND($J5="",$K5=""),"",SUMPRODUCT(--ISNUMBER(SEARCH(","&amp;Verpleegkundigen!$C$2:$C$100&amp;",",","&amp;LOWER(SUBSTITUTE(SUBSTITUTE($J5," ",""),CHAR(160),""))&amp;","))*(Verpleegkundigen!$C$2:$C$100&lt;&gt;LOWER(SUBSTITUTE(SUBSTITUTE($K5," ",""),CHAR(160),""))),Verpleegkundigen!$B$2:$B$100)+IF($K5&lt;&gt;"",1,0))</f>
        <v/>
      </c>
      <c r="E5" s="63">
        <f>IF(F5&gt;D5,1,IF(F5=D5,0,-1))</f>
        <v>0</v>
      </c>
      <c r="F5" s="92"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8"/>
    </row>
    <row r="6" spans="1:12" x14ac:dyDescent="0.25">
      <c r="A6" s="9">
        <v>46360</v>
      </c>
      <c r="B6" s="10" t="s">
        <v>18</v>
      </c>
      <c r="C6" s="10">
        <v>7</v>
      </c>
      <c r="D6" s="10" t="str">
        <f>IF(AND($J6="",$K6=""),"",SUMPRODUCT(--ISNUMBER(SEARCH(","&amp;Verpleegkundigen!$C$2:$C$100&amp;",",","&amp;LOWER(SUBSTITUTE(SUBSTITUTE($J6," ",""),CHAR(160),""))&amp;","))*(Verpleegkundigen!$C$2:$C$100&lt;&gt;LOWER(SUBSTITUTE(SUBSTITUTE($K6," ",""),CHAR(160),""))),Verpleegkundigen!$B$2:$B$100)+IF($K6&lt;&gt;"",1,0))</f>
        <v/>
      </c>
      <c r="E6" s="69">
        <f>IF(F6&gt;D6,1,IF(F6=D6,0,-1))</f>
        <v>0</v>
      </c>
      <c r="F6" s="72" t="str">
        <f>IF(AND($J6="",$K6=""),"",SUMPRODUCT(--ISNUMBER(SEARCH(","&amp;Verpleegkundigen!$C$2:$C$100&amp;",",","&amp;LOWER(SUBSTITUTE(SUBSTITUTE($J6," ",""),CHAR(160),""))&amp;","))*(Verpleegkundigen!$C$2:$C$100&lt;&gt;LOWER(SUBSTITUTE(SUBSTITUTE($K6," ",""),CHAR(160),""))),Verpleegkundigen!$B$2:$B$100)+IF($K6&lt;&gt;"",1,0))</f>
        <v/>
      </c>
      <c r="G6" s="10" t="str">
        <f>IF(AND(C6&lt;&gt;"",D6&lt;&gt;"",C6&gt;D6),"+" &amp; TEXT(C6-D6,"0"),"")</f>
        <v/>
      </c>
      <c r="H6" s="4"/>
      <c r="I6" s="7">
        <f>IF($J6="",5,LEN($J6)-LEN(SUBSTITUTE($J6,",",""))+1)</f>
        <v>5</v>
      </c>
      <c r="J6" s="10"/>
      <c r="K6" s="10"/>
      <c r="L6" s="4"/>
    </row>
    <row r="7" spans="1:12" x14ac:dyDescent="0.25">
      <c r="A7" s="3" t="s">
        <v>41</v>
      </c>
      <c r="B7" s="4"/>
      <c r="C7" s="4"/>
      <c r="D7" s="4"/>
      <c r="E7" s="64"/>
      <c r="F7" s="72" t="str">
        <f>IF(AND($J7="",$K7=""),"",SUMPRODUCT(--ISNUMBER(SEARCH(","&amp;Verpleegkundigen!$C$2:$C$100&amp;",",","&amp;LOWER(SUBSTITUTE(SUBSTITUTE($J7," ",""),CHAR(160),""))&amp;","))*(Verpleegkundigen!$C$2:$C$100&lt;&gt;LOWER(SUBSTITUTE(SUBSTITUTE($K7," ",""),CHAR(160),""))),Verpleegkundigen!$B$2:$B$100)+IF($K7&lt;&gt;"",1,0))</f>
        <v/>
      </c>
      <c r="G7" s="4"/>
      <c r="H7" s="4"/>
      <c r="I7" s="5"/>
      <c r="J7" s="4"/>
      <c r="K7" s="4"/>
      <c r="L7" s="4"/>
    </row>
    <row r="8" spans="1:12" x14ac:dyDescent="0.25">
      <c r="A8" s="6">
        <v>46363</v>
      </c>
      <c r="B8" s="7" t="s">
        <v>10</v>
      </c>
      <c r="C8" s="7">
        <v>13</v>
      </c>
      <c r="D8" s="7" t="str">
        <f>IF(AND($J8="",$K8=""),"",SUMPRODUCT(--ISNUMBER(SEARCH(","&amp;Verpleegkundigen!$C$2:$C$100&amp;",",","&amp;LOWER(SUBSTITUTE(SUBSTITUTE($J8," ",""),CHAR(160),""))&amp;","))*(Verpleegkundigen!$C$2:$C$100&lt;&gt;LOWER(SUBSTITUTE(SUBSTITUTE($K8," ",""),CHAR(160),""))),Verpleegkundigen!$B$2:$B$100)+IF($K8&lt;&gt;"",1,0))</f>
        <v/>
      </c>
      <c r="E8" s="63">
        <f>IF(F8&gt;D8,1,IF(F8=D8,0,-1))</f>
        <v>0</v>
      </c>
      <c r="F8" s="92" t="str">
        <f>IF(AND($J8="",$K8=""),"",SUMPRODUCT(--ISNUMBER(SEARCH(","&amp;Verpleegkundigen!$C$2:$C$100&amp;",",","&amp;LOWER(SUBSTITUTE(SUBSTITUTE($J8," ",""),CHAR(160),""))&amp;","))*(Verpleegkundigen!$C$2:$C$100&lt;&gt;LOWER(SUBSTITUTE(SUBSTITUTE($K8," ",""),CHAR(160),""))),Verpleegkundigen!$B$2:$B$100)+IF($K8&lt;&gt;"",1,0))</f>
        <v/>
      </c>
      <c r="G8" s="7" t="str">
        <f>IF(AND(C8&lt;&gt;"",D8&lt;&gt;"",C8&gt;D8),"+" &amp; TEXT(C8-D8,"0"),"")</f>
        <v/>
      </c>
      <c r="H8" s="8"/>
      <c r="I8" s="7">
        <f>IF($J8="",5,LEN($J8)-LEN(SUBSTITUTE($J8,",",""))+1)</f>
        <v>5</v>
      </c>
      <c r="J8" s="7"/>
      <c r="K8" s="7"/>
      <c r="L8" s="8"/>
    </row>
    <row r="9" spans="1:12" x14ac:dyDescent="0.25">
      <c r="A9" s="9">
        <v>46364</v>
      </c>
      <c r="B9" s="10" t="s">
        <v>12</v>
      </c>
      <c r="C9" s="10">
        <v>7</v>
      </c>
      <c r="D9" s="10" t="str">
        <f>IF(AND($J9="",$K9=""),"",SUMPRODUCT(--ISNUMBER(SEARCH(","&amp;Verpleegkundigen!$C$2:$C$100&amp;",",","&amp;LOWER(SUBSTITUTE(SUBSTITUTE($J9," ",""),CHAR(160),""))&amp;","))*(Verpleegkundigen!$C$2:$C$100&lt;&gt;LOWER(SUBSTITUTE(SUBSTITUTE($K9," ",""),CHAR(160),""))),Verpleegkundigen!$B$2:$B$100)+IF($K9&lt;&gt;"",1,0))</f>
        <v/>
      </c>
      <c r="E9" s="69">
        <f>IF(F9&gt;D9,1,IF(F9=D9,0,-1))</f>
        <v>0</v>
      </c>
      <c r="F9" s="72" t="str">
        <f>IF(AND($J9="",$K9=""),"",SUMPRODUCT(--ISNUMBER(SEARCH(","&amp;Verpleegkundigen!$C$2:$C$100&amp;",",","&amp;LOWER(SUBSTITUTE(SUBSTITUTE($J9," ",""),CHAR(160),""))&amp;","))*(Verpleegkundigen!$C$2:$C$100&lt;&gt;LOWER(SUBSTITUTE(SUBSTITUTE($K9," ",""),CHAR(160),""))),Verpleegkundigen!$B$2:$B$100)+IF($K9&lt;&gt;"",1,0))</f>
        <v/>
      </c>
      <c r="G9" s="10" t="str">
        <f>IF(AND(C9&lt;&gt;"",D9&lt;&gt;"",C9&gt;D9),"+" &amp; TEXT(C9-D9,"0"),"")</f>
        <v/>
      </c>
      <c r="H9" s="4"/>
      <c r="I9" s="7">
        <f>IF($J9="",5,LEN($J9)-LEN(SUBSTITUTE($J9,",",""))+1)</f>
        <v>5</v>
      </c>
      <c r="J9" s="10"/>
      <c r="K9" s="10"/>
      <c r="L9" s="4"/>
    </row>
    <row r="10" spans="1:12" x14ac:dyDescent="0.25">
      <c r="A10" s="6">
        <v>46365</v>
      </c>
      <c r="B10" s="7" t="s">
        <v>14</v>
      </c>
      <c r="C10" s="7">
        <v>9</v>
      </c>
      <c r="D10" s="7" t="str">
        <f>IF(AND($J10="",$K10=""),"",SUMPRODUCT(--ISNUMBER(SEARCH(","&amp;Verpleegkundigen!$C$2:$C$100&amp;",",","&amp;LOWER(SUBSTITUTE(SUBSTITUTE($J10," ",""),CHAR(160),""))&amp;","))*(Verpleegkundigen!$C$2:$C$100&lt;&gt;LOWER(SUBSTITUTE(SUBSTITUTE($K10," ",""),CHAR(160),""))),Verpleegkundigen!$B$2:$B$100)+IF($K10&lt;&gt;"",1,0))</f>
        <v/>
      </c>
      <c r="E10" s="67">
        <f>IF(F10&gt;D10,1,IF(F10=D10,0,-1))</f>
        <v>0</v>
      </c>
      <c r="F10" s="92" t="str">
        <f>IF(AND($J10="",$K10=""),"",SUMPRODUCT(--ISNUMBER(SEARCH(","&amp;Verpleegkundigen!$C$2:$C$100&amp;",",","&amp;LOWER(SUBSTITUTE(SUBSTITUTE($J10," ",""),CHAR(160),""))&amp;","))*(Verpleegkundigen!$C$2:$C$100&lt;&gt;LOWER(SUBSTITUTE(SUBSTITUTE($K10," ",""),CHAR(160),""))),Verpleegkundigen!$B$2:$B$100)+IF($K10&lt;&gt;"",1,0))</f>
        <v/>
      </c>
      <c r="G10" s="7" t="str">
        <f>IF(AND(C10&lt;&gt;"",D10&lt;&gt;"",C10&gt;D10),"+" &amp; TEXT(C10-D10,"0"),"")</f>
        <v/>
      </c>
      <c r="H10" s="8"/>
      <c r="I10" s="7">
        <f>IF($J10="",5,LEN($J10)-LEN(SUBSTITUTE($J10,",",""))+1)</f>
        <v>5</v>
      </c>
      <c r="J10" s="7"/>
      <c r="K10" s="7"/>
      <c r="L10" s="8"/>
    </row>
    <row r="11" spans="1:12" x14ac:dyDescent="0.25">
      <c r="A11" s="9">
        <v>46366</v>
      </c>
      <c r="B11" s="10" t="s">
        <v>16</v>
      </c>
      <c r="C11" s="10">
        <v>5</v>
      </c>
      <c r="D11" s="10" t="str">
        <f>IF(AND($J11="",$K11=""),"",SUMPRODUCT(--ISNUMBER(SEARCH(","&amp;Verpleegkundigen!$C$2:$C$100&amp;",",","&amp;LOWER(SUBSTITUTE(SUBSTITUTE($J11," ",""),CHAR(160),""))&amp;","))*(Verpleegkundigen!$C$2:$C$100&lt;&gt;LOWER(SUBSTITUTE(SUBSTITUTE($K11," ",""),CHAR(160),""))),Verpleegkundigen!$B$2:$B$100)+IF($K11&lt;&gt;"",1,0))</f>
        <v/>
      </c>
      <c r="E11" s="64">
        <f>IF(F11&gt;D11,1,IF(F11=D11,0,-1))</f>
        <v>0</v>
      </c>
      <c r="F11" s="72" t="str">
        <f>IF(AND($J11="",$K11=""),"",SUMPRODUCT(--ISNUMBER(SEARCH(","&amp;Verpleegkundigen!$C$2:$C$100&amp;",",","&amp;LOWER(SUBSTITUTE(SUBSTITUTE($J11," ",""),CHAR(160),""))&amp;","))*(Verpleegkundigen!$C$2:$C$100&lt;&gt;LOWER(SUBSTITUTE(SUBSTITUTE($K11," ",""),CHAR(160),""))),Verpleegkundigen!$B$2:$B$100)+IF($K11&lt;&gt;"",1,0))</f>
        <v/>
      </c>
      <c r="G11" s="10" t="str">
        <f>IF(AND(C11&lt;&gt;"",D11&lt;&gt;"",C11&gt;D11),"+" &amp; TEXT(C11-D11,"0"),"")</f>
        <v/>
      </c>
      <c r="H11" s="4"/>
      <c r="I11" s="7">
        <f>IF($J11="",5,LEN($J11)-LEN(SUBSTITUTE($J11,",",""))+1)</f>
        <v>5</v>
      </c>
      <c r="J11" s="10"/>
      <c r="K11" s="10"/>
      <c r="L11" s="4"/>
    </row>
    <row r="12" spans="1:12" x14ac:dyDescent="0.25">
      <c r="A12" s="6">
        <v>46367</v>
      </c>
      <c r="B12" s="7" t="s">
        <v>18</v>
      </c>
      <c r="C12" s="7">
        <v>13</v>
      </c>
      <c r="D12" s="7" t="str">
        <f>IF(AND($J12="",$K12=""),"",SUMPRODUCT(--ISNUMBER(SEARCH(","&amp;Verpleegkundigen!$C$2:$C$100&amp;",",","&amp;LOWER(SUBSTITUTE(SUBSTITUTE($J12," ",""),CHAR(160),""))&amp;","))*(Verpleegkundigen!$C$2:$C$100&lt;&gt;LOWER(SUBSTITUTE(SUBSTITUTE($K12," ",""),CHAR(160),""))),Verpleegkundigen!$B$2:$B$100)+IF($K12&lt;&gt;"",1,0))</f>
        <v/>
      </c>
      <c r="E12" s="67">
        <f>IF(F12&gt;D12,1,IF(F12=D12,0,-1))</f>
        <v>0</v>
      </c>
      <c r="F12" s="92" t="str">
        <f>IF(AND($J12="",$K12=""),"",SUMPRODUCT(--ISNUMBER(SEARCH(","&amp;Verpleegkundigen!$C$2:$C$100&amp;",",","&amp;LOWER(SUBSTITUTE(SUBSTITUTE($J12," ",""),CHAR(160),""))&amp;","))*(Verpleegkundigen!$C$2:$C$100&lt;&gt;LOWER(SUBSTITUTE(SUBSTITUTE($K12," ",""),CHAR(160),""))),Verpleegkundigen!$B$2:$B$100)+IF($K12&lt;&gt;"",1,0))</f>
        <v/>
      </c>
      <c r="G12" s="7" t="str">
        <f>IF(AND(C12&lt;&gt;"",D12&lt;&gt;"",C12&gt;D12),"+" &amp; TEXT(C12-D12,"0"),"")</f>
        <v/>
      </c>
      <c r="H12" s="8"/>
      <c r="I12" s="7">
        <f>IF($J12="",5,LEN($J12)-LEN(SUBSTITUTE($J12,",",""))+1)</f>
        <v>5</v>
      </c>
      <c r="J12" s="7"/>
      <c r="K12" s="7"/>
      <c r="L12" s="8"/>
    </row>
    <row r="13" spans="1:12" x14ac:dyDescent="0.25">
      <c r="A13" s="3" t="s">
        <v>43</v>
      </c>
      <c r="B13" s="4"/>
      <c r="C13" s="4"/>
      <c r="D13" s="4"/>
      <c r="E13" s="64"/>
      <c r="F13" s="72" t="str">
        <f>IF(AND($J13="",$K13=""),"",SUMPRODUCT(--ISNUMBER(SEARCH(","&amp;Verpleegkundigen!$C$2:$C$100&amp;",",","&amp;LOWER(SUBSTITUTE(SUBSTITUTE($J13," ",""),CHAR(160),""))&amp;","))*(Verpleegkundigen!$C$2:$C$100&lt;&gt;LOWER(SUBSTITUTE(SUBSTITUTE($K13," ",""),CHAR(160),""))),Verpleegkundigen!$B$2:$B$100)+IF($K13&lt;&gt;"",1,0))</f>
        <v/>
      </c>
      <c r="G13" s="4"/>
      <c r="H13" s="4"/>
      <c r="I13" s="5"/>
      <c r="J13" s="4"/>
      <c r="K13" s="4"/>
      <c r="L13" s="4"/>
    </row>
    <row r="14" spans="1:12" x14ac:dyDescent="0.25">
      <c r="A14" s="6">
        <v>46370</v>
      </c>
      <c r="B14" s="7" t="s">
        <v>10</v>
      </c>
      <c r="C14" s="7">
        <v>6</v>
      </c>
      <c r="D14" s="7" t="str">
        <f>IF(AND($J14="",$K14=""),"",SUMPRODUCT(--ISNUMBER(SEARCH(","&amp;Verpleegkundigen!$C$2:$C$100&amp;",",","&amp;LOWER(SUBSTITUTE(SUBSTITUTE($J14," ",""),CHAR(160),""))&amp;","))*(Verpleegkundigen!$C$2:$C$100&lt;&gt;LOWER(SUBSTITUTE(SUBSTITUTE($K14," ",""),CHAR(160),""))),Verpleegkundigen!$B$2:$B$100)+IF($K14&lt;&gt;"",1,0))</f>
        <v/>
      </c>
      <c r="E14" s="63">
        <f>IF(F14&gt;D14,1,IF(F14=D14,0,-1))</f>
        <v>0</v>
      </c>
      <c r="F14" s="92" t="str">
        <f>IF(AND($J14="",$K14=""),"",SUMPRODUCT(--ISNUMBER(SEARCH(","&amp;Verpleegkundigen!$C$2:$C$100&amp;",",","&amp;LOWER(SUBSTITUTE(SUBSTITUTE($J14," ",""),CHAR(160),""))&amp;","))*(Verpleegkundigen!$C$2:$C$100&lt;&gt;LOWER(SUBSTITUTE(SUBSTITUTE($K14," ",""),CHAR(160),""))),Verpleegkundigen!$B$2:$B$100)+IF($K14&lt;&gt;"",1,0))</f>
        <v/>
      </c>
      <c r="G14" s="7" t="str">
        <f>IF(AND(C14&lt;&gt;"",D14&lt;&gt;"",C14&gt;D14),"+" &amp; TEXT(C14-D14,"0"),"")</f>
        <v/>
      </c>
      <c r="H14" s="8"/>
      <c r="I14" s="7">
        <f>IF($J14="",5,LEN($J14)-LEN(SUBSTITUTE($J14,",",""))+1)</f>
        <v>5</v>
      </c>
      <c r="J14" s="7"/>
      <c r="K14" s="7"/>
      <c r="L14" s="8"/>
    </row>
    <row r="15" spans="1:12" x14ac:dyDescent="0.25">
      <c r="A15" s="9">
        <v>46371</v>
      </c>
      <c r="B15" s="10" t="s">
        <v>12</v>
      </c>
      <c r="C15" s="10">
        <v>1</v>
      </c>
      <c r="D15" s="10" t="str">
        <f>IF(AND($J15="",$K15=""),"",SUMPRODUCT(--ISNUMBER(SEARCH(","&amp;Verpleegkundigen!$C$2:$C$100&amp;",",","&amp;LOWER(SUBSTITUTE(SUBSTITUTE($J15," ",""),CHAR(160),""))&amp;","))*(Verpleegkundigen!$C$2:$C$100&lt;&gt;LOWER(SUBSTITUTE(SUBSTITUTE($K15," ",""),CHAR(160),""))),Verpleegkundigen!$B$2:$B$100)+IF($K15&lt;&gt;"",1,0))</f>
        <v/>
      </c>
      <c r="E15" s="69">
        <f>IF(F15&gt;D15,1,IF(F15=D15,0,-1))</f>
        <v>0</v>
      </c>
      <c r="F15" s="72" t="str">
        <f>IF(AND($J15="",$K15=""),"",SUMPRODUCT(--ISNUMBER(SEARCH(","&amp;Verpleegkundigen!$C$2:$C$100&amp;",",","&amp;LOWER(SUBSTITUTE(SUBSTITUTE($J15," ",""),CHAR(160),""))&amp;","))*(Verpleegkundigen!$C$2:$C$100&lt;&gt;LOWER(SUBSTITUTE(SUBSTITUTE($K15," ",""),CHAR(160),""))),Verpleegkundigen!$B$2:$B$100)+IF($K15&lt;&gt;"",1,0))</f>
        <v/>
      </c>
      <c r="G15" s="10" t="str">
        <f>IF(AND(C15&lt;&gt;"",D15&lt;&gt;"",C15&gt;D15),"+" &amp; TEXT(C15-D15,"0"),"")</f>
        <v/>
      </c>
      <c r="H15" s="4"/>
      <c r="I15" s="7">
        <f>IF($J15="",5,LEN($J15)-LEN(SUBSTITUTE($J15,",",""))+1)</f>
        <v>5</v>
      </c>
      <c r="J15" s="10"/>
      <c r="K15" s="10"/>
      <c r="L15" s="4"/>
    </row>
    <row r="16" spans="1:12" x14ac:dyDescent="0.25">
      <c r="A16" s="6">
        <v>46372</v>
      </c>
      <c r="B16" s="7" t="s">
        <v>14</v>
      </c>
      <c r="C16" s="7">
        <v>1</v>
      </c>
      <c r="D16" s="7" t="str">
        <f>IF(AND($J16="",$K16=""),"",SUMPRODUCT(--ISNUMBER(SEARCH(","&amp;Verpleegkundigen!$C$2:$C$100&amp;",",","&amp;LOWER(SUBSTITUTE(SUBSTITUTE($J16," ",""),CHAR(160),""))&amp;","))*(Verpleegkundigen!$C$2:$C$100&lt;&gt;LOWER(SUBSTITUTE(SUBSTITUTE($K16," ",""),CHAR(160),""))),Verpleegkundigen!$B$2:$B$100)+IF($K16&lt;&gt;"",1,0))</f>
        <v/>
      </c>
      <c r="E16" s="67">
        <f>IF(F16&gt;D16,1,IF(F16=D16,0,-1))</f>
        <v>0</v>
      </c>
      <c r="F16" s="92" t="str">
        <f>IF(AND($J16="",$K16=""),"",SUMPRODUCT(--ISNUMBER(SEARCH(","&amp;Verpleegkundigen!$C$2:$C$100&amp;",",","&amp;LOWER(SUBSTITUTE(SUBSTITUTE($J16," ",""),CHAR(160),""))&amp;","))*(Verpleegkundigen!$C$2:$C$100&lt;&gt;LOWER(SUBSTITUTE(SUBSTITUTE($K16," ",""),CHAR(160),""))),Verpleegkundigen!$B$2:$B$100)+IF($K16&lt;&gt;"",1,0))</f>
        <v/>
      </c>
      <c r="G16" s="7" t="str">
        <f>IF(AND(C16&lt;&gt;"",D16&lt;&gt;"",C16&gt;D16),"+" &amp; TEXT(C16-D16,"0"),"")</f>
        <v/>
      </c>
      <c r="H16" s="8"/>
      <c r="I16" s="7">
        <f>IF($J16="",5,LEN($J16)-LEN(SUBSTITUTE($J16,",",""))+1)</f>
        <v>5</v>
      </c>
      <c r="J16" s="7"/>
      <c r="K16" s="7"/>
      <c r="L16" s="8"/>
    </row>
    <row r="17" spans="1:12" x14ac:dyDescent="0.25">
      <c r="A17" s="9">
        <v>46373</v>
      </c>
      <c r="B17" s="10" t="s">
        <v>16</v>
      </c>
      <c r="C17" s="10">
        <v>1</v>
      </c>
      <c r="D17" s="10" t="str">
        <f>IF(AND($J17="",$K17=""),"",SUMPRODUCT(--ISNUMBER(SEARCH(","&amp;Verpleegkundigen!$C$2:$C$100&amp;",",","&amp;LOWER(SUBSTITUTE(SUBSTITUTE($J17," ",""),CHAR(160),""))&amp;","))*(Verpleegkundigen!$C$2:$C$100&lt;&gt;LOWER(SUBSTITUTE(SUBSTITUTE($K17," ",""),CHAR(160),""))),Verpleegkundigen!$B$2:$B$100)+IF($K17&lt;&gt;"",1,0))</f>
        <v/>
      </c>
      <c r="E17" s="64">
        <f>IF(F17&gt;D17,1,IF(F17=D17,0,-1))</f>
        <v>0</v>
      </c>
      <c r="F17" s="72" t="str">
        <f>IF(AND($J17="",$K17=""),"",SUMPRODUCT(--ISNUMBER(SEARCH(","&amp;Verpleegkundigen!$C$2:$C$100&amp;",",","&amp;LOWER(SUBSTITUTE(SUBSTITUTE($J17," ",""),CHAR(160),""))&amp;","))*(Verpleegkundigen!$C$2:$C$100&lt;&gt;LOWER(SUBSTITUTE(SUBSTITUTE($K17," ",""),CHAR(160),""))),Verpleegkundigen!$B$2:$B$100)+IF($K17&lt;&gt;"",1,0))</f>
        <v/>
      </c>
      <c r="G17" s="10" t="str">
        <f>IF(AND(C17&lt;&gt;"",D17&lt;&gt;"",C17&gt;D17),"+" &amp; TEXT(C17-D17,"0"),"")</f>
        <v/>
      </c>
      <c r="H17" s="4"/>
      <c r="I17" s="7">
        <f>IF($J17="",5,LEN($J17)-LEN(SUBSTITUTE($J17,",",""))+1)</f>
        <v>5</v>
      </c>
      <c r="J17" s="10"/>
      <c r="K17" s="10"/>
      <c r="L17" s="4"/>
    </row>
    <row r="18" spans="1:12" x14ac:dyDescent="0.25">
      <c r="A18" s="6">
        <v>46374</v>
      </c>
      <c r="B18" s="7" t="s">
        <v>18</v>
      </c>
      <c r="C18" s="7">
        <v>1</v>
      </c>
      <c r="D18" s="7" t="str">
        <f>IF(AND($J18="",$K18=""),"",SUMPRODUCT(--ISNUMBER(SEARCH(","&amp;Verpleegkundigen!$C$2:$C$100&amp;",",","&amp;LOWER(SUBSTITUTE(SUBSTITUTE($J18," ",""),CHAR(160),""))&amp;","))*(Verpleegkundigen!$C$2:$C$100&lt;&gt;LOWER(SUBSTITUTE(SUBSTITUTE($K18," ",""),CHAR(160),""))),Verpleegkundigen!$B$2:$B$100)+IF($K18&lt;&gt;"",1,0))</f>
        <v/>
      </c>
      <c r="E18" s="67">
        <f>IF(F18&gt;D18,1,IF(F18=D18,0,-1))</f>
        <v>0</v>
      </c>
      <c r="F18" s="92" t="str">
        <f>IF(AND($J18="",$K18=""),"",SUMPRODUCT(--ISNUMBER(SEARCH(","&amp;Verpleegkundigen!$C$2:$C$100&amp;",",","&amp;LOWER(SUBSTITUTE(SUBSTITUTE($J18," ",""),CHAR(160),""))&amp;","))*(Verpleegkundigen!$C$2:$C$100&lt;&gt;LOWER(SUBSTITUTE(SUBSTITUTE($K18," ",""),CHAR(160),""))),Verpleegkundigen!$B$2:$B$100)+IF($K18&lt;&gt;"",1,0))</f>
        <v/>
      </c>
      <c r="G18" s="7" t="str">
        <f>IF(AND(C18&lt;&gt;"",D18&lt;&gt;"",C18&gt;D18),"+" &amp; TEXT(C18-D18,"0"),"")</f>
        <v/>
      </c>
      <c r="H18" s="8"/>
      <c r="I18" s="7">
        <f>IF($J18="",5,LEN($J18)-LEN(SUBSTITUTE($J18,",",""))+1)</f>
        <v>5</v>
      </c>
      <c r="J18" s="7"/>
      <c r="K18" s="7"/>
      <c r="L18" s="8"/>
    </row>
    <row r="19" spans="1:12" x14ac:dyDescent="0.25">
      <c r="A19" s="3" t="s">
        <v>45</v>
      </c>
      <c r="B19" s="4"/>
      <c r="C19" s="4"/>
      <c r="D19" s="4"/>
      <c r="E19" s="64"/>
      <c r="F19" s="72" t="str">
        <f>IF(AND($J19="",$K19=""),"",SUMPRODUCT(--ISNUMBER(SEARCH(","&amp;Verpleegkundigen!$C$2:$C$100&amp;",",","&amp;LOWER(SUBSTITUTE(SUBSTITUTE($J19," ",""),CHAR(160),""))&amp;","))*(Verpleegkundigen!$C$2:$C$100&lt;&gt;LOWER(SUBSTITUTE(SUBSTITUTE($K19," ",""),CHAR(160),""))),Verpleegkundigen!$B$2:$B$100)+IF($K19&lt;&gt;"",1,0))</f>
        <v/>
      </c>
      <c r="G19" s="4"/>
      <c r="H19" s="4"/>
      <c r="I19" s="5"/>
      <c r="J19" s="4"/>
      <c r="K19" s="4"/>
      <c r="L19" s="4"/>
    </row>
    <row r="20" spans="1:12" x14ac:dyDescent="0.25">
      <c r="A20" s="6">
        <v>46377</v>
      </c>
      <c r="B20" s="7" t="s">
        <v>10</v>
      </c>
      <c r="C20" s="7">
        <v>0</v>
      </c>
      <c r="D20" s="7" t="str">
        <f>IF(AND($J20="",$K20=""),"",SUMPRODUCT(--ISNUMBER(SEARCH(","&amp;Verpleegkundigen!$C$2:$C$100&amp;",",","&amp;LOWER(SUBSTITUTE(SUBSTITUTE($J20," ",""),CHAR(160),""))&amp;","))*(Verpleegkundigen!$C$2:$C$100&lt;&gt;LOWER(SUBSTITUTE(SUBSTITUTE($K20," ",""),CHAR(160),""))),Verpleegkundigen!$B$2:$B$100)+IF($K20&lt;&gt;"",1,0))</f>
        <v/>
      </c>
      <c r="E20" s="63">
        <f>IF(F20&gt;D20,1,IF(F20=D20,0,-1))</f>
        <v>0</v>
      </c>
      <c r="F20" s="92" t="str">
        <f>IF(AND($J20="",$K20=""),"",SUMPRODUCT(--ISNUMBER(SEARCH(","&amp;Verpleegkundigen!$C$2:$C$100&amp;",",","&amp;LOWER(SUBSTITUTE(SUBSTITUTE($J20," ",""),CHAR(160),""))&amp;","))*(Verpleegkundigen!$C$2:$C$100&lt;&gt;LOWER(SUBSTITUTE(SUBSTITUTE($K20," ",""),CHAR(160),""))),Verpleegkundigen!$B$2:$B$100)+IF($K20&lt;&gt;"",1,0))</f>
        <v/>
      </c>
      <c r="G20" s="7" t="str">
        <f>IF(AND(C20&lt;&gt;"",D20&lt;&gt;"",C20&gt;D20),"+" &amp; TEXT(C20-D20,"0"),"")</f>
        <v/>
      </c>
      <c r="H20" s="8"/>
      <c r="I20" s="7">
        <f>IF($J20="",5,LEN($J20)-LEN(SUBSTITUTE($J20,",",""))+1)</f>
        <v>5</v>
      </c>
      <c r="J20" s="7"/>
      <c r="K20" s="7"/>
      <c r="L20" s="8"/>
    </row>
    <row r="21" spans="1:12" x14ac:dyDescent="0.25">
      <c r="A21" s="9">
        <v>46378</v>
      </c>
      <c r="B21" s="10" t="s">
        <v>12</v>
      </c>
      <c r="C21" s="10">
        <v>0</v>
      </c>
      <c r="D21" s="10" t="str">
        <f>IF(AND($J21="",$K21=""),"",SUMPRODUCT(--ISNUMBER(SEARCH(","&amp;Verpleegkundigen!$C$2:$C$100&amp;",",","&amp;LOWER(SUBSTITUTE(SUBSTITUTE($J21," ",""),CHAR(160),""))&amp;","))*(Verpleegkundigen!$C$2:$C$100&lt;&gt;LOWER(SUBSTITUTE(SUBSTITUTE($K21," ",""),CHAR(160),""))),Verpleegkundigen!$B$2:$B$100)+IF($K21&lt;&gt;"",1,0))</f>
        <v/>
      </c>
      <c r="E21" s="64">
        <f>IF(F21&gt;D21,1,IF(F21=D21,0,-1))</f>
        <v>0</v>
      </c>
      <c r="F21" s="72" t="str">
        <f>IF(AND($J21="",$K21=""),"",SUMPRODUCT(--ISNUMBER(SEARCH(","&amp;Verpleegkundigen!$C$2:$C$100&amp;",",","&amp;LOWER(SUBSTITUTE(SUBSTITUTE($J21," ",""),CHAR(160),""))&amp;","))*(Verpleegkundigen!$C$2:$C$100&lt;&gt;LOWER(SUBSTITUTE(SUBSTITUTE($K21," ",""),CHAR(160),""))),Verpleegkundigen!$B$2:$B$100)+IF($K21&lt;&gt;"",1,0))</f>
        <v/>
      </c>
      <c r="G21" s="10" t="str">
        <f>IF(AND(C21&lt;&gt;"",D21&lt;&gt;"",C21&gt;D21),"+" &amp; TEXT(C21-D21,"0"),"")</f>
        <v/>
      </c>
      <c r="H21" s="4"/>
      <c r="I21" s="7">
        <f>IF($J21="",5,LEN($J21)-LEN(SUBSTITUTE($J21,",",""))+1)</f>
        <v>5</v>
      </c>
      <c r="J21" s="10"/>
      <c r="K21" s="10"/>
      <c r="L21" s="4"/>
    </row>
    <row r="22" spans="1:12" x14ac:dyDescent="0.25">
      <c r="A22" s="6">
        <v>46379</v>
      </c>
      <c r="B22" s="7" t="s">
        <v>14</v>
      </c>
      <c r="C22" s="7">
        <v>1</v>
      </c>
      <c r="D22" s="7" t="str">
        <f>IF(AND($J22="",$K22=""),"",SUMPRODUCT(--ISNUMBER(SEARCH(","&amp;Verpleegkundigen!$C$2:$C$100&amp;",",","&amp;LOWER(SUBSTITUTE(SUBSTITUTE($J22," ",""),CHAR(160),""))&amp;","))*(Verpleegkundigen!$C$2:$C$100&lt;&gt;LOWER(SUBSTITUTE(SUBSTITUTE($K22," ",""),CHAR(160),""))),Verpleegkundigen!$B$2:$B$100)+IF($K22&lt;&gt;"",1,0))</f>
        <v/>
      </c>
      <c r="E22" s="67">
        <f>IF(F22&gt;D22,1,IF(F22=D22,0,-1))</f>
        <v>0</v>
      </c>
      <c r="F22" s="92" t="str">
        <f>IF(AND($J22="",$K22=""),"",SUMPRODUCT(--ISNUMBER(SEARCH(","&amp;Verpleegkundigen!$C$2:$C$100&amp;",",","&amp;LOWER(SUBSTITUTE(SUBSTITUTE($J22," ",""),CHAR(160),""))&amp;","))*(Verpleegkundigen!$C$2:$C$100&lt;&gt;LOWER(SUBSTITUTE(SUBSTITUTE($K22," ",""),CHAR(160),""))),Verpleegkundigen!$B$2:$B$100)+IF($K22&lt;&gt;"",1,0))</f>
        <v/>
      </c>
      <c r="G22" s="7" t="str">
        <f>IF(AND(C22&lt;&gt;"",D22&lt;&gt;"",C22&gt;D22),"+" &amp; TEXT(C22-D22,"0"),"")</f>
        <v/>
      </c>
      <c r="H22" s="8"/>
      <c r="I22" s="7">
        <f>IF($J22="",5,LEN($J22)-LEN(SUBSTITUTE($J22,",",""))+1)</f>
        <v>5</v>
      </c>
      <c r="J22" s="7"/>
      <c r="K22" s="7"/>
      <c r="L22" s="8"/>
    </row>
    <row r="23" spans="1:12" x14ac:dyDescent="0.25">
      <c r="A23" s="9">
        <v>46380</v>
      </c>
      <c r="B23" s="10" t="s">
        <v>16</v>
      </c>
      <c r="C23" s="10">
        <v>0</v>
      </c>
      <c r="D23" s="10" t="str">
        <f>IF(AND($J23="",$K23=""),"",SUMPRODUCT(--ISNUMBER(SEARCH(","&amp;Verpleegkundigen!$C$2:$C$100&amp;",",","&amp;LOWER(SUBSTITUTE(SUBSTITUTE($J23," ",""),CHAR(160),""))&amp;","))*(Verpleegkundigen!$C$2:$C$100&lt;&gt;LOWER(SUBSTITUTE(SUBSTITUTE($K23," ",""),CHAR(160),""))),Verpleegkundigen!$B$2:$B$100)+IF($K23&lt;&gt;"",1,0))</f>
        <v/>
      </c>
      <c r="E23" s="64">
        <f>IF(F23&gt;D23,1,IF(F23=D23,0,-1))</f>
        <v>0</v>
      </c>
      <c r="F23" s="72" t="str">
        <f>IF(AND($J23="",$K23=""),"",SUMPRODUCT(--ISNUMBER(SEARCH(","&amp;Verpleegkundigen!$C$2:$C$100&amp;",",","&amp;LOWER(SUBSTITUTE(SUBSTITUTE($J23," ",""),CHAR(160),""))&amp;","))*(Verpleegkundigen!$C$2:$C$100&lt;&gt;LOWER(SUBSTITUTE(SUBSTITUTE($K23," ",""),CHAR(160),""))),Verpleegkundigen!$B$2:$B$100)+IF($K23&lt;&gt;"",1,0))</f>
        <v/>
      </c>
      <c r="G23" s="10" t="str">
        <f>IF(AND(C23&lt;&gt;"",D23&lt;&gt;"",C23&gt;D23),"+" &amp; TEXT(C23-D23,"0"),"")</f>
        <v/>
      </c>
      <c r="H23" s="4"/>
      <c r="I23" s="7">
        <f>IF($J23="",5,LEN($J23)-LEN(SUBSTITUTE($J23,",",""))+1)</f>
        <v>5</v>
      </c>
      <c r="J23" s="10"/>
      <c r="K23" s="10"/>
      <c r="L23" s="4"/>
    </row>
    <row r="24" spans="1:12" x14ac:dyDescent="0.25">
      <c r="A24" s="6">
        <v>46381</v>
      </c>
      <c r="B24" s="7" t="s">
        <v>18</v>
      </c>
      <c r="C24" s="7">
        <v>0</v>
      </c>
      <c r="D24" s="7" t="str">
        <f>IF(AND($J24="",$K24=""),"",SUMPRODUCT(--ISNUMBER(SEARCH(","&amp;Verpleegkundigen!$C$2:$C$100&amp;",",","&amp;LOWER(SUBSTITUTE(SUBSTITUTE($J24," ",""),CHAR(160),""))&amp;","))*(Verpleegkundigen!$C$2:$C$100&lt;&gt;LOWER(SUBSTITUTE(SUBSTITUTE($K24," ",""),CHAR(160),""))),Verpleegkundigen!$B$2:$B$100)+IF($K24&lt;&gt;"",1,0))</f>
        <v/>
      </c>
      <c r="E24" s="67">
        <f>IF(F24&gt;D24,1,IF(F24=D24,0,-1))</f>
        <v>0</v>
      </c>
      <c r="F24" s="92" t="str">
        <f>IF(AND($J24="",$K24=""),"",SUMPRODUCT(--ISNUMBER(SEARCH(","&amp;Verpleegkundigen!$C$2:$C$100&amp;",",","&amp;LOWER(SUBSTITUTE(SUBSTITUTE($J24," ",""),CHAR(160),""))&amp;","))*(Verpleegkundigen!$C$2:$C$100&lt;&gt;LOWER(SUBSTITUTE(SUBSTITUTE($K24," ",""),CHAR(160),""))),Verpleegkundigen!$B$2:$B$100)+IF($K24&lt;&gt;"",1,0))</f>
        <v/>
      </c>
      <c r="G24" s="7" t="str">
        <f>IF(AND(C24&lt;&gt;"",D24&lt;&gt;"",C24&gt;D24),"+" &amp; TEXT(C24-D24,"0"),"")</f>
        <v/>
      </c>
      <c r="H24" s="8"/>
      <c r="I24" s="7">
        <f>IF($J24="",5,LEN($J24)-LEN(SUBSTITUTE($J24,",",""))+1)</f>
        <v>5</v>
      </c>
      <c r="J24" s="7"/>
      <c r="K24" s="7"/>
      <c r="L24" s="8"/>
    </row>
    <row r="25" spans="1:12" x14ac:dyDescent="0.25">
      <c r="A25" s="3" t="s">
        <v>106</v>
      </c>
      <c r="B25" s="4"/>
      <c r="C25" s="4"/>
      <c r="D25" s="4"/>
      <c r="E25" s="64"/>
      <c r="F25" s="72" t="str">
        <f>IF(AND($J25="",$K25=""),"",SUMPRODUCT(--ISNUMBER(SEARCH(","&amp;Verpleegkundigen!$C$2:$C$100&amp;",",","&amp;LOWER(SUBSTITUTE(SUBSTITUTE($J25," ",""),CHAR(160),""))&amp;","))*(Verpleegkundigen!$C$2:$C$100&lt;&gt;LOWER(SUBSTITUTE(SUBSTITUTE($K25," ",""),CHAR(160),""))),Verpleegkundigen!$B$2:$B$100)+IF($K25&lt;&gt;"",1,0))</f>
        <v/>
      </c>
      <c r="G25" s="4"/>
      <c r="H25" s="4"/>
      <c r="I25" s="5"/>
      <c r="J25" s="4"/>
      <c r="K25" s="4"/>
      <c r="L25" s="4"/>
    </row>
    <row r="26" spans="1:12" x14ac:dyDescent="0.25">
      <c r="A26" s="6">
        <v>46384</v>
      </c>
      <c r="B26" s="7" t="s">
        <v>10</v>
      </c>
      <c r="C26" s="7">
        <v>0</v>
      </c>
      <c r="D26" s="7" t="str">
        <f>IF(AND($J26="",$K26=""),"",SUMPRODUCT(--ISNUMBER(SEARCH(","&amp;Verpleegkundigen!$C$2:$C$100&amp;",",","&amp;LOWER(SUBSTITUTE(SUBSTITUTE($J26," ",""),CHAR(160),""))&amp;","))*(Verpleegkundigen!$C$2:$C$100&lt;&gt;LOWER(SUBSTITUTE(SUBSTITUTE($K26," ",""),CHAR(160),""))),Verpleegkundigen!$B$2:$B$100)+IF($K26&lt;&gt;"",1,0))</f>
        <v/>
      </c>
      <c r="E26" s="63">
        <f>IF(F26&gt;D26,1,IF(F26=D26,0,-1))</f>
        <v>0</v>
      </c>
      <c r="F26" s="92" t="str">
        <f>IF(AND($J26="",$K26=""),"",SUMPRODUCT(--ISNUMBER(SEARCH(","&amp;Verpleegkundigen!$C$2:$C$100&amp;",",","&amp;LOWER(SUBSTITUTE(SUBSTITUTE($J26," ",""),CHAR(160),""))&amp;","))*(Verpleegkundigen!$C$2:$C$100&lt;&gt;LOWER(SUBSTITUTE(SUBSTITUTE($K26," ",""),CHAR(160),""))),Verpleegkundigen!$B$2:$B$100)+IF($K26&lt;&gt;"",1,0))</f>
        <v/>
      </c>
      <c r="G26" s="7" t="str">
        <f>IF(AND(C26&lt;&gt;"",D26&lt;&gt;"",C26&gt;D26),"+" &amp; TEXT(C26-D26,"0"),"")</f>
        <v/>
      </c>
      <c r="H26" s="8"/>
      <c r="I26" s="7">
        <f>IF($J26="",5,LEN($J26)-LEN(SUBSTITUTE($J26,",",""))+1)</f>
        <v>5</v>
      </c>
      <c r="J26" s="7"/>
      <c r="K26" s="7"/>
      <c r="L26" s="8"/>
    </row>
    <row r="27" spans="1:12" x14ac:dyDescent="0.25">
      <c r="A27" s="9">
        <v>46385</v>
      </c>
      <c r="B27" s="10" t="s">
        <v>12</v>
      </c>
      <c r="C27" s="10">
        <v>0</v>
      </c>
      <c r="D27" s="10" t="str">
        <f>IF(AND($J27="",$K27=""),"",SUMPRODUCT(--ISNUMBER(SEARCH(","&amp;Verpleegkundigen!$C$2:$C$100&amp;",",","&amp;LOWER(SUBSTITUTE(SUBSTITUTE($J27," ",""),CHAR(160),""))&amp;","))*(Verpleegkundigen!$C$2:$C$100&lt;&gt;LOWER(SUBSTITUTE(SUBSTITUTE($K27," ",""),CHAR(160),""))),Verpleegkundigen!$B$2:$B$100)+IF($K27&lt;&gt;"",1,0))</f>
        <v/>
      </c>
      <c r="E27" s="64">
        <f>IF(F27&gt;D27,1,IF(F27=D27,0,-1))</f>
        <v>0</v>
      </c>
      <c r="F27" s="72" t="str">
        <f>IF(AND($J27="",$K27=""),"",SUMPRODUCT(--ISNUMBER(SEARCH(","&amp;Verpleegkundigen!$C$2:$C$100&amp;",",","&amp;LOWER(SUBSTITUTE(SUBSTITUTE($J27," ",""),CHAR(160),""))&amp;","))*(Verpleegkundigen!$C$2:$C$100&lt;&gt;LOWER(SUBSTITUTE(SUBSTITUTE($K27," ",""),CHAR(160),""))),Verpleegkundigen!$B$2:$B$100)+IF($K27&lt;&gt;"",1,0))</f>
        <v/>
      </c>
      <c r="G27" s="10" t="str">
        <f>IF(AND(C27&lt;&gt;"",D27&lt;&gt;"",C27&gt;D27),"+" &amp; TEXT(C27-D27,"0"),"")</f>
        <v/>
      </c>
      <c r="H27" s="4"/>
      <c r="I27" s="7">
        <f>IF($J27="",5,LEN($J27)-LEN(SUBSTITUTE($J27,",",""))+1)</f>
        <v>5</v>
      </c>
      <c r="J27" s="10"/>
      <c r="K27" s="10"/>
      <c r="L27" s="4"/>
    </row>
    <row r="28" spans="1:12" x14ac:dyDescent="0.25">
      <c r="A28" s="6">
        <v>46386</v>
      </c>
      <c r="B28" s="7" t="s">
        <v>14</v>
      </c>
      <c r="C28" s="7">
        <v>0</v>
      </c>
      <c r="D28" s="7" t="str">
        <f>IF(AND($J28="",$K28=""),"",SUMPRODUCT(--ISNUMBER(SEARCH(","&amp;Verpleegkundigen!$C$2:$C$100&amp;",",","&amp;LOWER(SUBSTITUTE(SUBSTITUTE($J28," ",""),CHAR(160),""))&amp;","))*(Verpleegkundigen!$C$2:$C$100&lt;&gt;LOWER(SUBSTITUTE(SUBSTITUTE($K28," ",""),CHAR(160),""))),Verpleegkundigen!$B$2:$B$100)+IF($K28&lt;&gt;"",1,0))</f>
        <v/>
      </c>
      <c r="E28" s="63">
        <f>IF(F28&gt;D28,1,IF(F28=D28,0,-1))</f>
        <v>0</v>
      </c>
      <c r="F28" s="92" t="str">
        <f>IF(AND($J28="",$K28=""),"",SUMPRODUCT(--ISNUMBER(SEARCH(","&amp;Verpleegkundigen!$C$2:$C$100&amp;",",","&amp;LOWER(SUBSTITUTE(SUBSTITUTE($J28," ",""),CHAR(160),""))&amp;","))*(Verpleegkundigen!$C$2:$C$100&lt;&gt;LOWER(SUBSTITUTE(SUBSTITUTE($K28," ",""),CHAR(160),""))),Verpleegkundigen!$B$2:$B$100)+IF($K28&lt;&gt;"",1,0))</f>
        <v/>
      </c>
      <c r="G28" s="7" t="str">
        <f>IF(AND(C28&lt;&gt;"",D28&lt;&gt;"",C28&gt;D28),"+" &amp; TEXT(C28-D28,"0"),"")</f>
        <v/>
      </c>
      <c r="H28" s="8"/>
      <c r="I28" s="7">
        <f>IF($J28="",5,LEN($J28)-LEN(SUBSTITUTE($J28,",",""))+1)</f>
        <v>5</v>
      </c>
      <c r="J28" s="7"/>
      <c r="K28" s="7"/>
      <c r="L28" s="8"/>
    </row>
    <row r="29" spans="1:12" x14ac:dyDescent="0.25">
      <c r="A29" s="9">
        <v>46387</v>
      </c>
      <c r="B29" s="10" t="s">
        <v>16</v>
      </c>
      <c r="C29" s="10">
        <v>0</v>
      </c>
      <c r="D29" s="10" t="str">
        <f>IF(AND($J29="",$K29=""),"",SUMPRODUCT(--ISNUMBER(SEARCH(","&amp;Verpleegkundigen!$C$2:$C$100&amp;",",","&amp;LOWER(SUBSTITUTE(SUBSTITUTE($J29," ",""),CHAR(160),""))&amp;","))*(Verpleegkundigen!$C$2:$C$100&lt;&gt;LOWER(SUBSTITUTE(SUBSTITUTE($K29," ",""),CHAR(160),""))),Verpleegkundigen!$B$2:$B$100)+IF($K29&lt;&gt;"",1,0))</f>
        <v/>
      </c>
      <c r="E29" s="64">
        <f>IF(F29&gt;D29,1,IF(F29=D29,0,-1))</f>
        <v>0</v>
      </c>
      <c r="F29" s="72" t="str">
        <f>IF(AND($J29="",$K29=""),"",SUMPRODUCT(--ISNUMBER(SEARCH(","&amp;Verpleegkundigen!$C$2:$C$100&amp;",",","&amp;LOWER(SUBSTITUTE(SUBSTITUTE($J29," ",""),CHAR(160),""))&amp;","))*(Verpleegkundigen!$C$2:$C$100&lt;&gt;LOWER(SUBSTITUTE(SUBSTITUTE($K29," ",""),CHAR(160),""))),Verpleegkundigen!$B$2:$B$100)+IF($K29&lt;&gt;"",1,0))</f>
        <v/>
      </c>
      <c r="G29" s="10" t="str">
        <f>IF(AND(C29&lt;&gt;"",D29&lt;&gt;"",C29&gt;D29),"+" &amp; TEXT(C29-D29,"0"),"")</f>
        <v/>
      </c>
      <c r="H29" s="4"/>
      <c r="I29" s="7">
        <f>IF($J29="",5,LEN($J29)-LEN(SUBSTITUTE($J29,",",""))+1)</f>
        <v>5</v>
      </c>
      <c r="J29" s="10"/>
      <c r="K29" s="10"/>
      <c r="L29" s="4"/>
    </row>
  </sheetData>
  <conditionalFormatting sqref="C3:C27">
    <cfRule type="expression" dxfId="41" priority="43">
      <formula>AND(ISNUMBER($C3),ISNUMBER($D3),$C3&lt;0.8*$D3)</formula>
    </cfRule>
    <cfRule type="expression" dxfId="40" priority="44">
      <formula>AND(ISNUMBER($C3),ISNUMBER($D3),$C3&gt;=0.8*$D3,$C3&lt;$D3)</formula>
    </cfRule>
    <cfRule type="expression" dxfId="39" priority="45">
      <formula>AND(ISNUMBER($C3),ISNUMBER($D3),$C3&gt;=$D3)</formula>
    </cfRule>
  </conditionalFormatting>
  <conditionalFormatting sqref="I3:I27">
    <cfRule type="expression" dxfId="38" priority="40">
      <formula>$I3=2</formula>
    </cfRule>
    <cfRule type="expression" dxfId="37" priority="41">
      <formula>OR($I3=3,$I3=4)</formula>
    </cfRule>
    <cfRule type="expression" dxfId="36" priority="42">
      <formula>$I3&gt;=5</formula>
    </cfRule>
  </conditionalFormatting>
  <conditionalFormatting sqref="C28:C29">
    <cfRule type="expression" dxfId="35" priority="31">
      <formula>AND(ISNUMBER($C28),ISNUMBER($D28),$C28&lt;0.8*$D28)</formula>
    </cfRule>
    <cfRule type="expression" dxfId="34" priority="32">
      <formula>AND(ISNUMBER($C28),ISNUMBER($D28),$C28&gt;=0.8*$D28,$C28&lt;$D28)</formula>
    </cfRule>
    <cfRule type="expression" dxfId="33" priority="33">
      <formula>AND(ISNUMBER($C28),ISNUMBER($D28),$C28&gt;=$D28)</formula>
    </cfRule>
  </conditionalFormatting>
  <conditionalFormatting sqref="I28:I29">
    <cfRule type="expression" dxfId="32" priority="28">
      <formula>$I28=2</formula>
    </cfRule>
    <cfRule type="expression" dxfId="31" priority="29">
      <formula>OR($I28=3,$I28=4)</formula>
    </cfRule>
    <cfRule type="expression" dxfId="30" priority="30">
      <formula>$I28&gt;=5</formula>
    </cfRule>
  </conditionalFormatting>
  <pageMargins left="0.75" right="0.75" top="1" bottom="1" header="0.5" footer="0.5"/>
  <ignoredErrors>
    <ignoredError sqref="E3:E6 E8:E12 E14:E18 E20:E24 E26:E29" formula="1"/>
  </ignoredErrors>
  <extLst>
    <ext xmlns:x14="http://schemas.microsoft.com/office/spreadsheetml/2009/9/main" uri="{78C0D931-6437-407d-A8EE-F0AAD7539E65}">
      <x14:conditionalFormattings>
        <x14:conditionalFormatting xmlns:xm="http://schemas.microsoft.com/office/excel/2006/main">
          <x14:cfRule type="iconSet" priority="27" id="{CB9A4033-029A-4A40-9396-E2F6EA3DB0E7}">
            <x14:iconSet iconSet="3Triangles" showValue="0">
              <x14:cfvo type="percent">
                <xm:f>0</xm:f>
              </x14:cfvo>
              <x14:cfvo type="formula">
                <xm:f>0</xm:f>
              </x14:cfvo>
              <x14:cfvo type="formula">
                <xm:f>1</xm:f>
              </x14:cfvo>
            </x14:iconSet>
          </x14:cfRule>
          <xm:sqref>E3 E21 E15 E9 E7</xm:sqref>
        </x14:conditionalFormatting>
        <x14:conditionalFormatting xmlns:xm="http://schemas.microsoft.com/office/excel/2006/main">
          <x14:cfRule type="iconSet" priority="26" id="{C4088E8C-8E1F-4E39-B8F7-3141E578E36B}">
            <x14:iconSet iconSet="3Triangles" showValue="0">
              <x14:cfvo type="percent">
                <xm:f>0</xm:f>
              </x14:cfvo>
              <x14:cfvo type="formula">
                <xm:f>0</xm:f>
              </x14:cfvo>
              <x14:cfvo type="formula">
                <xm:f>1</xm:f>
              </x14:cfvo>
            </x14:iconSet>
          </x14:cfRule>
          <xm:sqref>E27</xm:sqref>
        </x14:conditionalFormatting>
        <x14:conditionalFormatting xmlns:xm="http://schemas.microsoft.com/office/excel/2006/main">
          <x14:cfRule type="iconSet" priority="25" id="{6409F575-51F2-4A07-98D5-CB09BA7C6729}">
            <x14:iconSet iconSet="3Triangles" showValue="0">
              <x14:cfvo type="percent">
                <xm:f>0</xm:f>
              </x14:cfvo>
              <x14:cfvo type="formula">
                <xm:f>0</xm:f>
              </x14:cfvo>
              <x14:cfvo type="formula">
                <xm:f>1</xm:f>
              </x14:cfvo>
            </x14:iconSet>
          </x14:cfRule>
          <xm:sqref>E22</xm:sqref>
        </x14:conditionalFormatting>
        <x14:conditionalFormatting xmlns:xm="http://schemas.microsoft.com/office/excel/2006/main">
          <x14:cfRule type="iconSet" priority="24" id="{BDD3F58A-94EF-4AF6-B983-725121B74D91}">
            <x14:iconSet iconSet="3Triangles" showValue="0">
              <x14:cfvo type="percent">
                <xm:f>0</xm:f>
              </x14:cfvo>
              <x14:cfvo type="formula">
                <xm:f>0</xm:f>
              </x14:cfvo>
              <x14:cfvo type="formula">
                <xm:f>1</xm:f>
              </x14:cfvo>
            </x14:iconSet>
          </x14:cfRule>
          <xm:sqref>E16</xm:sqref>
        </x14:conditionalFormatting>
        <x14:conditionalFormatting xmlns:xm="http://schemas.microsoft.com/office/excel/2006/main">
          <x14:cfRule type="iconSet" priority="23" id="{70FC5442-36E5-4651-A670-AB7712B8D3F6}">
            <x14:iconSet iconSet="3Triangles" showValue="0">
              <x14:cfvo type="percent">
                <xm:f>0</xm:f>
              </x14:cfvo>
              <x14:cfvo type="formula">
                <xm:f>0</xm:f>
              </x14:cfvo>
              <x14:cfvo type="formula">
                <xm:f>1</xm:f>
              </x14:cfvo>
            </x14:iconSet>
          </x14:cfRule>
          <xm:sqref>E10</xm:sqref>
        </x14:conditionalFormatting>
        <x14:conditionalFormatting xmlns:xm="http://schemas.microsoft.com/office/excel/2006/main">
          <x14:cfRule type="iconSet" priority="22" id="{0D7F363F-5EEC-4A82-9AC8-D6B1712DA7EC}">
            <x14:iconSet iconSet="3Triangles" showValue="0">
              <x14:cfvo type="percent">
                <xm:f>0</xm:f>
              </x14:cfvo>
              <x14:cfvo type="formula">
                <xm:f>0</xm:f>
              </x14:cfvo>
              <x14:cfvo type="formula">
                <xm:f>1</xm:f>
              </x14:cfvo>
            </x14:iconSet>
          </x14:cfRule>
          <xm:sqref>E4</xm:sqref>
        </x14:conditionalFormatting>
        <x14:conditionalFormatting xmlns:xm="http://schemas.microsoft.com/office/excel/2006/main">
          <x14:cfRule type="iconSet" priority="21" id="{0A940760-9ED5-4B74-9A8D-34FB961E7D97}">
            <x14:iconSet iconSet="3Triangles" showValue="0">
              <x14:cfvo type="percent">
                <xm:f>0</xm:f>
              </x14:cfvo>
              <x14:cfvo type="formula">
                <xm:f>0</xm:f>
              </x14:cfvo>
              <x14:cfvo type="formula">
                <xm:f>1</xm:f>
              </x14:cfvo>
            </x14:iconSet>
          </x14:cfRule>
          <xm:sqref>E6</xm:sqref>
        </x14:conditionalFormatting>
        <x14:conditionalFormatting xmlns:xm="http://schemas.microsoft.com/office/excel/2006/main">
          <x14:cfRule type="iconSet" priority="20" id="{C9CEAF99-5A6D-4704-849B-19B9545394B2}">
            <x14:iconSet iconSet="3Triangles" showValue="0">
              <x14:cfvo type="percent">
                <xm:f>0</xm:f>
              </x14:cfvo>
              <x14:cfvo type="formula">
                <xm:f>0</xm:f>
              </x14:cfvo>
              <x14:cfvo type="formula">
                <xm:f>1</xm:f>
              </x14:cfvo>
            </x14:iconSet>
          </x14:cfRule>
          <xm:sqref>E12</xm:sqref>
        </x14:conditionalFormatting>
        <x14:conditionalFormatting xmlns:xm="http://schemas.microsoft.com/office/excel/2006/main">
          <x14:cfRule type="iconSet" priority="19" id="{3FE6C66B-3300-440F-868C-C4A2C7BC54D9}">
            <x14:iconSet iconSet="3Triangles" showValue="0">
              <x14:cfvo type="percent">
                <xm:f>0</xm:f>
              </x14:cfvo>
              <x14:cfvo type="formula">
                <xm:f>0</xm:f>
              </x14:cfvo>
              <x14:cfvo type="formula">
                <xm:f>1</xm:f>
              </x14:cfvo>
            </x14:iconSet>
          </x14:cfRule>
          <xm:sqref>E18</xm:sqref>
        </x14:conditionalFormatting>
        <x14:conditionalFormatting xmlns:xm="http://schemas.microsoft.com/office/excel/2006/main">
          <x14:cfRule type="iconSet" priority="18" id="{72C4195E-70EB-4EB6-8271-799E84AD2992}">
            <x14:iconSet iconSet="3Triangles" showValue="0">
              <x14:cfvo type="percent">
                <xm:f>0</xm:f>
              </x14:cfvo>
              <x14:cfvo type="formula">
                <xm:f>0</xm:f>
              </x14:cfvo>
              <x14:cfvo type="formula">
                <xm:f>1</xm:f>
              </x14:cfvo>
            </x14:iconSet>
          </x14:cfRule>
          <xm:sqref>E24</xm:sqref>
        </x14:conditionalFormatting>
        <x14:conditionalFormatting xmlns:xm="http://schemas.microsoft.com/office/excel/2006/main">
          <x14:cfRule type="iconSet" priority="13" id="{B52DCC8B-AF17-49D2-B5C2-9777E9A14A50}">
            <x14:iconSet iconSet="3Triangles" showValue="0">
              <x14:cfvo type="percent">
                <xm:f>0</xm:f>
              </x14:cfvo>
              <x14:cfvo type="formula">
                <xm:f>0</xm:f>
              </x14:cfvo>
              <x14:cfvo type="formula">
                <xm:f>1</xm:f>
              </x14:cfvo>
            </x14:iconSet>
          </x14:cfRule>
          <xm:sqref>E25</xm:sqref>
        </x14:conditionalFormatting>
        <x14:conditionalFormatting xmlns:xm="http://schemas.microsoft.com/office/excel/2006/main">
          <x14:cfRule type="iconSet" priority="12" id="{8B2728F2-29D4-4716-A44F-C9D60DF6F33C}">
            <x14:iconSet iconSet="3Triangles" showValue="0">
              <x14:cfvo type="percent">
                <xm:f>0</xm:f>
              </x14:cfvo>
              <x14:cfvo type="formula">
                <xm:f>0</xm:f>
              </x14:cfvo>
              <x14:cfvo type="formula">
                <xm:f>1</xm:f>
              </x14:cfvo>
            </x14:iconSet>
          </x14:cfRule>
          <xm:sqref>E19</xm:sqref>
        </x14:conditionalFormatting>
        <x14:conditionalFormatting xmlns:xm="http://schemas.microsoft.com/office/excel/2006/main">
          <x14:cfRule type="iconSet" priority="11" id="{10EF1CB7-BC13-4A51-BA12-461CBA916F16}">
            <x14:iconSet iconSet="3Triangles" showValue="0">
              <x14:cfvo type="percent">
                <xm:f>0</xm:f>
              </x14:cfvo>
              <x14:cfvo type="formula">
                <xm:f>0</xm:f>
              </x14:cfvo>
              <x14:cfvo type="formula">
                <xm:f>1</xm:f>
              </x14:cfvo>
            </x14:iconSet>
          </x14:cfRule>
          <xm:sqref>E13</xm:sqref>
        </x14:conditionalFormatting>
        <x14:conditionalFormatting xmlns:xm="http://schemas.microsoft.com/office/excel/2006/main">
          <x14:cfRule type="iconSet" priority="10" id="{B3579FC4-C0F0-4AB3-9950-E74E58C8C981}">
            <x14:iconSet iconSet="3Triangles" showValue="0">
              <x14:cfvo type="percent">
                <xm:f>0</xm:f>
              </x14:cfvo>
              <x14:cfvo type="formula">
                <xm:f>0</xm:f>
              </x14:cfvo>
              <x14:cfvo type="formula">
                <xm:f>1</xm:f>
              </x14:cfvo>
            </x14:iconSet>
          </x14:cfRule>
          <xm:sqref>E23</xm:sqref>
        </x14:conditionalFormatting>
        <x14:conditionalFormatting xmlns:xm="http://schemas.microsoft.com/office/excel/2006/main">
          <x14:cfRule type="iconSet" priority="9" id="{B45363F2-AE29-49E1-A36A-196E4E2041AE}">
            <x14:iconSet iconSet="3Triangles" showValue="0">
              <x14:cfvo type="percent">
                <xm:f>0</xm:f>
              </x14:cfvo>
              <x14:cfvo type="formula">
                <xm:f>0</xm:f>
              </x14:cfvo>
              <x14:cfvo type="formula">
                <xm:f>1</xm:f>
              </x14:cfvo>
            </x14:iconSet>
          </x14:cfRule>
          <xm:sqref>E17</xm:sqref>
        </x14:conditionalFormatting>
        <x14:conditionalFormatting xmlns:xm="http://schemas.microsoft.com/office/excel/2006/main">
          <x14:cfRule type="iconSet" priority="8" id="{0D8DF5AC-C9BD-4866-9BCF-04F2FA67F8D6}">
            <x14:iconSet iconSet="3Triangles" showValue="0">
              <x14:cfvo type="percent">
                <xm:f>0</xm:f>
              </x14:cfvo>
              <x14:cfvo type="formula">
                <xm:f>0</xm:f>
              </x14:cfvo>
              <x14:cfvo type="formula">
                <xm:f>1</xm:f>
              </x14:cfvo>
            </x14:iconSet>
          </x14:cfRule>
          <xm:sqref>E11</xm:sqref>
        </x14:conditionalFormatting>
        <x14:conditionalFormatting xmlns:xm="http://schemas.microsoft.com/office/excel/2006/main">
          <x14:cfRule type="iconSet" priority="7" id="{2605680A-14B5-49E3-ACD8-06E9F87EAC70}">
            <x14:iconSet iconSet="3Triangles" showValue="0">
              <x14:cfvo type="percent">
                <xm:f>0</xm:f>
              </x14:cfvo>
              <x14:cfvo type="formula">
                <xm:f>0</xm:f>
              </x14:cfvo>
              <x14:cfvo type="formula">
                <xm:f>1</xm:f>
              </x14:cfvo>
            </x14:iconSet>
          </x14:cfRule>
          <xm:sqref>E5</xm:sqref>
        </x14:conditionalFormatting>
        <x14:conditionalFormatting xmlns:xm="http://schemas.microsoft.com/office/excel/2006/main">
          <x14:cfRule type="iconSet" priority="6" id="{E9F0E46C-6529-46C6-95CF-378140A7DCC7}">
            <x14:iconSet iconSet="3Triangles" showValue="0">
              <x14:cfvo type="percent">
                <xm:f>0</xm:f>
              </x14:cfvo>
              <x14:cfvo type="formula">
                <xm:f>0</xm:f>
              </x14:cfvo>
              <x14:cfvo type="formula">
                <xm:f>1</xm:f>
              </x14:cfvo>
            </x14:iconSet>
          </x14:cfRule>
          <xm:sqref>E28</xm:sqref>
        </x14:conditionalFormatting>
        <x14:conditionalFormatting xmlns:xm="http://schemas.microsoft.com/office/excel/2006/main">
          <x14:cfRule type="iconSet" priority="5" id="{EB3D1169-CB2B-4A9E-BB4A-F383D0ADED60}">
            <x14:iconSet iconSet="3Triangles" showValue="0">
              <x14:cfvo type="percent">
                <xm:f>0</xm:f>
              </x14:cfvo>
              <x14:cfvo type="formula">
                <xm:f>0</xm:f>
              </x14:cfvo>
              <x14:cfvo type="formula">
                <xm:f>1</xm:f>
              </x14:cfvo>
            </x14:iconSet>
          </x14:cfRule>
          <xm:sqref>E29</xm:sqref>
        </x14:conditionalFormatting>
        <x14:conditionalFormatting xmlns:xm="http://schemas.microsoft.com/office/excel/2006/main">
          <x14:cfRule type="iconSet" priority="4" id="{F3A13743-1A74-4671-9D04-2ABEF151C17A}">
            <x14:iconSet iconSet="3Triangles" showValue="0">
              <x14:cfvo type="percent">
                <xm:f>0</xm:f>
              </x14:cfvo>
              <x14:cfvo type="formula">
                <xm:f>0</xm:f>
              </x14:cfvo>
              <x14:cfvo type="formula">
                <xm:f>1</xm:f>
              </x14:cfvo>
            </x14:iconSet>
          </x14:cfRule>
          <xm:sqref>E26</xm:sqref>
        </x14:conditionalFormatting>
        <x14:conditionalFormatting xmlns:xm="http://schemas.microsoft.com/office/excel/2006/main">
          <x14:cfRule type="iconSet" priority="3" id="{834DB841-0DE1-4FB7-A8F6-389A6E586E0A}">
            <x14:iconSet iconSet="3Triangles" showValue="0">
              <x14:cfvo type="percent">
                <xm:f>0</xm:f>
              </x14:cfvo>
              <x14:cfvo type="formula">
                <xm:f>0</xm:f>
              </x14:cfvo>
              <x14:cfvo type="formula">
                <xm:f>1</xm:f>
              </x14:cfvo>
            </x14:iconSet>
          </x14:cfRule>
          <xm:sqref>E20</xm:sqref>
        </x14:conditionalFormatting>
        <x14:conditionalFormatting xmlns:xm="http://schemas.microsoft.com/office/excel/2006/main">
          <x14:cfRule type="iconSet" priority="2" id="{34335087-8E64-41E1-A3D9-A12BD34AE8B1}">
            <x14:iconSet iconSet="3Triangles" showValue="0">
              <x14:cfvo type="percent">
                <xm:f>0</xm:f>
              </x14:cfvo>
              <x14:cfvo type="formula">
                <xm:f>0</xm:f>
              </x14:cfvo>
              <x14:cfvo type="formula">
                <xm:f>1</xm:f>
              </x14:cfvo>
            </x14:iconSet>
          </x14:cfRule>
          <xm:sqref>E14</xm:sqref>
        </x14:conditionalFormatting>
        <x14:conditionalFormatting xmlns:xm="http://schemas.microsoft.com/office/excel/2006/main">
          <x14:cfRule type="iconSet" priority="1" id="{969C1B72-7A87-464A-AA59-3EF80A8E1A24}">
            <x14:iconSet iconSet="3Triangles" showValue="0">
              <x14:cfvo type="percent">
                <xm:f>0</xm:f>
              </x14:cfvo>
              <x14:cfvo type="formula">
                <xm:f>0</xm:f>
              </x14:cfvo>
              <x14:cfvo type="formula">
                <xm:f>1</xm:f>
              </x14:cfvo>
            </x14:iconSet>
          </x14:cfRule>
          <xm:sqref>E8</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G8" sqref="G8"/>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3.85546875" customWidth="1"/>
    <col min="6" max="6" width="20.7109375" customWidth="1"/>
    <col min="7" max="7" width="14.7109375" customWidth="1"/>
    <col min="8" max="8" width="18.7109375" customWidth="1"/>
    <col min="9" max="9" width="10.7109375" customWidth="1"/>
    <col min="10" max="10" width="30.7109375" customWidth="1"/>
    <col min="11" max="11" width="13.140625" bestFit="1" customWidth="1"/>
    <col min="12" max="12" width="19.7109375" bestFit="1" customWidth="1"/>
  </cols>
  <sheetData>
    <row r="1" spans="1:12" x14ac:dyDescent="0.25">
      <c r="A1" s="1" t="s">
        <v>0</v>
      </c>
      <c r="B1" s="1" t="s">
        <v>1</v>
      </c>
      <c r="C1" s="1" t="s">
        <v>2</v>
      </c>
      <c r="D1" s="1" t="s">
        <v>145</v>
      </c>
      <c r="E1" s="1"/>
      <c r="F1" s="1" t="s">
        <v>147</v>
      </c>
      <c r="G1" s="1" t="s">
        <v>4</v>
      </c>
      <c r="H1" s="1" t="s">
        <v>5</v>
      </c>
      <c r="I1" s="1" t="s">
        <v>6</v>
      </c>
      <c r="J1" s="1" t="s">
        <v>7</v>
      </c>
      <c r="K1" s="1" t="s">
        <v>8</v>
      </c>
      <c r="L1" s="1" t="s">
        <v>148</v>
      </c>
    </row>
    <row r="2" spans="1:12" x14ac:dyDescent="0.25">
      <c r="A2" s="3" t="s">
        <v>101</v>
      </c>
      <c r="B2" s="4"/>
      <c r="C2" s="4"/>
      <c r="D2" s="4"/>
      <c r="E2" s="4"/>
      <c r="F2" s="4"/>
      <c r="G2" s="4"/>
      <c r="H2" s="4"/>
      <c r="I2" s="5"/>
      <c r="J2" s="4"/>
      <c r="K2" s="4"/>
      <c r="L2" s="4"/>
    </row>
    <row r="3" spans="1:12" x14ac:dyDescent="0.25">
      <c r="A3" s="6">
        <v>46296</v>
      </c>
      <c r="B3" s="7" t="s">
        <v>16</v>
      </c>
      <c r="C3" s="7">
        <v>5</v>
      </c>
      <c r="D3" s="7" t="str">
        <f>IF(AND($J3="",$K3=""),"",SUMPRODUCT(--ISNUMBER(SEARCH(","&amp;Verpleegkundigen!$C$2:$C$100&amp;",",","&amp;LOWER(SUBSTITUTE(SUBSTITUTE($J3," ",""),CHAR(160),""))&amp;","))*(Verpleegkundigen!$C$2:$C$100&lt;&gt;LOWER(SUBSTITUTE(SUBSTITUTE($K3," ",""),CHAR(160),""))),Verpleegkundigen!$B$2:$B$100)+IF($K3&lt;&gt;"",1,0))</f>
        <v/>
      </c>
      <c r="E3" s="63">
        <f>IF(F3&gt;D3,1,IF(F3=D3,0,-1))</f>
        <v>0</v>
      </c>
      <c r="F3" s="92"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8"/>
    </row>
    <row r="4" spans="1:12" x14ac:dyDescent="0.25">
      <c r="A4" s="9">
        <v>46297</v>
      </c>
      <c r="B4" s="10" t="s">
        <v>18</v>
      </c>
      <c r="C4" s="10">
        <v>5</v>
      </c>
      <c r="D4" s="10" t="str">
        <f>IF(AND($J4="",$K4=""),"",SUMPRODUCT(--ISNUMBER(SEARCH(","&amp;Verpleegkundigen!$C$2:$C$100&amp;",",","&amp;LOWER(SUBSTITUTE(SUBSTITUTE($J4," ",""),CHAR(160),""))&amp;","))*(Verpleegkundigen!$C$2:$C$100&lt;&gt;LOWER(SUBSTITUTE(SUBSTITUTE($K4," ",""),CHAR(160),""))),Verpleegkundigen!$B$2:$B$100)+IF($K4&lt;&gt;"",1,0))</f>
        <v/>
      </c>
      <c r="E4" s="69">
        <f>IF(F4&gt;D4,1,IF(F4=D4,0,-1))</f>
        <v>0</v>
      </c>
      <c r="F4" s="72"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10"/>
      <c r="K4" s="10"/>
      <c r="L4" s="4"/>
    </row>
    <row r="5" spans="1:12" x14ac:dyDescent="0.25">
      <c r="A5" s="3" t="s">
        <v>102</v>
      </c>
      <c r="B5" s="4"/>
      <c r="C5" s="4"/>
      <c r="D5" s="4"/>
      <c r="E5" s="64"/>
      <c r="F5" s="72" t="str">
        <f>IF(AND($J5="",$K5=""),"",SUMPRODUCT(--ISNUMBER(SEARCH(","&amp;Verpleegkundigen!$C$2:$C$100&amp;",",","&amp;LOWER(SUBSTITUTE(SUBSTITUTE($J5," ",""),CHAR(160),""))&amp;","))*(Verpleegkundigen!$C$2:$C$100&lt;&gt;LOWER(SUBSTITUTE(SUBSTITUTE($K5," ",""),CHAR(160),""))),Verpleegkundigen!$B$2:$B$100)+IF($K5&lt;&gt;"",1,0))</f>
        <v/>
      </c>
      <c r="G5" s="4"/>
      <c r="H5" s="4"/>
      <c r="I5" s="5"/>
      <c r="J5" s="4"/>
      <c r="K5" s="4"/>
      <c r="L5" s="4"/>
    </row>
    <row r="6" spans="1:12" x14ac:dyDescent="0.25">
      <c r="A6" s="6">
        <v>46300</v>
      </c>
      <c r="B6" s="7" t="s">
        <v>10</v>
      </c>
      <c r="C6" s="7">
        <v>13</v>
      </c>
      <c r="D6" s="7" t="str">
        <f>IF(AND($J6="",$K6=""),"",SUMPRODUCT(--ISNUMBER(SEARCH(","&amp;Verpleegkundigen!$C$2:$C$100&amp;",",","&amp;LOWER(SUBSTITUTE(SUBSTITUTE($J6," ",""),CHAR(160),""))&amp;","))*(Verpleegkundigen!$C$2:$C$100&lt;&gt;LOWER(SUBSTITUTE(SUBSTITUTE($K6," ",""),CHAR(160),""))),Verpleegkundigen!$B$2:$B$100)+IF($K6&lt;&gt;"",1,0))</f>
        <v/>
      </c>
      <c r="E6" s="67">
        <f>IF(F6&gt;D6,1,IF(F6=D6,0,-1))</f>
        <v>0</v>
      </c>
      <c r="F6" s="92" t="str">
        <f>IF(AND($J6="",$K6=""),"",SUMPRODUCT(--ISNUMBER(SEARCH(","&amp;Verpleegkundigen!$C$2:$C$100&amp;",",","&amp;LOWER(SUBSTITUTE(SUBSTITUTE($J6," ",""),CHAR(160),""))&amp;","))*(Verpleegkundigen!$C$2:$C$100&lt;&gt;LOWER(SUBSTITUTE(SUBSTITUTE($K6," ",""),CHAR(160),""))),Verpleegkundigen!$B$2:$B$100)+IF($K6&lt;&gt;"",1,0))</f>
        <v/>
      </c>
      <c r="G6" s="7" t="str">
        <f>IF(AND(C6&lt;&gt;"",D6&lt;&gt;"",C6&gt;D6),"+" &amp; TEXT(C6-D6,"0"),"")</f>
        <v/>
      </c>
      <c r="H6" s="8"/>
      <c r="I6" s="7">
        <f>IF($J6="",5,LEN($J6)-LEN(SUBSTITUTE($J6,",",""))+1)</f>
        <v>5</v>
      </c>
      <c r="J6" s="7"/>
      <c r="K6" s="7"/>
      <c r="L6" s="8"/>
    </row>
    <row r="7" spans="1:12" x14ac:dyDescent="0.25">
      <c r="A7" s="9">
        <v>46301</v>
      </c>
      <c r="B7" s="10" t="s">
        <v>12</v>
      </c>
      <c r="C7" s="10">
        <v>7</v>
      </c>
      <c r="D7" s="10" t="str">
        <f>IF(AND($J7="",$K7=""),"",SUMPRODUCT(--ISNUMBER(SEARCH(","&amp;Verpleegkundigen!$C$2:$C$100&amp;",",","&amp;LOWER(SUBSTITUTE(SUBSTITUTE($J7," ",""),CHAR(160),""))&amp;","))*(Verpleegkundigen!$C$2:$C$100&lt;&gt;LOWER(SUBSTITUTE(SUBSTITUTE($K7," ",""),CHAR(160),""))),Verpleegkundigen!$B$2:$B$100)+IF($K7&lt;&gt;"",1,0))</f>
        <v/>
      </c>
      <c r="E7" s="64">
        <f>IF(F7&gt;D7,1,IF(F7=D7,0,-1))</f>
        <v>0</v>
      </c>
      <c r="F7" s="72" t="str">
        <f>IF(AND($J7="",$K7=""),"",SUMPRODUCT(--ISNUMBER(SEARCH(","&amp;Verpleegkundigen!$C$2:$C$100&amp;",",","&amp;LOWER(SUBSTITUTE(SUBSTITUTE($J7," ",""),CHAR(160),""))&amp;","))*(Verpleegkundigen!$C$2:$C$100&lt;&gt;LOWER(SUBSTITUTE(SUBSTITUTE($K7," ",""),CHAR(160),""))),Verpleegkundigen!$B$2:$B$100)+IF($K7&lt;&gt;"",1,0))</f>
        <v/>
      </c>
      <c r="G7" s="10" t="str">
        <f>IF(AND(C7&lt;&gt;"",D7&lt;&gt;"",C7&gt;D7),"+" &amp; TEXT(C7-D7,"0"),"")</f>
        <v/>
      </c>
      <c r="H7" s="4"/>
      <c r="I7" s="7">
        <f>IF($J7="",5,LEN($J7)-LEN(SUBSTITUTE($J7,",",""))+1)</f>
        <v>5</v>
      </c>
      <c r="J7" s="10"/>
      <c r="K7" s="10"/>
      <c r="L7" s="4"/>
    </row>
    <row r="8" spans="1:12" x14ac:dyDescent="0.25">
      <c r="A8" s="6">
        <v>46302</v>
      </c>
      <c r="B8" s="7" t="s">
        <v>14</v>
      </c>
      <c r="C8" s="7">
        <v>9</v>
      </c>
      <c r="D8" s="7" t="str">
        <f>IF(AND($J8="",$K8=""),"",SUMPRODUCT(--ISNUMBER(SEARCH(","&amp;Verpleegkundigen!$C$2:$C$100&amp;",",","&amp;LOWER(SUBSTITUTE(SUBSTITUTE($J8," ",""),CHAR(160),""))&amp;","))*(Verpleegkundigen!$C$2:$C$100&lt;&gt;LOWER(SUBSTITUTE(SUBSTITUTE($K8," ",""),CHAR(160),""))),Verpleegkundigen!$B$2:$B$100)+IF($K8&lt;&gt;"",1,0))</f>
        <v/>
      </c>
      <c r="E8" s="67">
        <f>IF(F8&gt;D8,1,IF(F8=D8,0,-1))</f>
        <v>0</v>
      </c>
      <c r="F8" s="92" t="str">
        <f>IF(AND($J8="",$K8=""),"",SUMPRODUCT(--ISNUMBER(SEARCH(","&amp;Verpleegkundigen!$C$2:$C$100&amp;",",","&amp;LOWER(SUBSTITUTE(SUBSTITUTE($J8," ",""),CHAR(160),""))&amp;","))*(Verpleegkundigen!$C$2:$C$100&lt;&gt;LOWER(SUBSTITUTE(SUBSTITUTE($K8," ",""),CHAR(160),""))),Verpleegkundigen!$B$2:$B$100)+IF($K8&lt;&gt;"",1,0))</f>
        <v/>
      </c>
      <c r="G8" s="7" t="str">
        <f>IF(AND(C8&lt;&gt;"",D8&lt;&gt;"",C8&gt;D8),"+" &amp; TEXT(C8-D8,"0"),"")</f>
        <v/>
      </c>
      <c r="H8" s="8"/>
      <c r="I8" s="7">
        <f>IF($J8="",5,LEN($J8)-LEN(SUBSTITUTE($J8,",",""))+1)</f>
        <v>5</v>
      </c>
      <c r="J8" s="7"/>
      <c r="K8" s="7"/>
      <c r="L8" s="8"/>
    </row>
    <row r="9" spans="1:12" x14ac:dyDescent="0.25">
      <c r="A9" s="9">
        <v>46303</v>
      </c>
      <c r="B9" s="10" t="s">
        <v>16</v>
      </c>
      <c r="C9" s="10">
        <v>5</v>
      </c>
      <c r="D9" s="10" t="str">
        <f>IF(AND($J9="",$K9=""),"",SUMPRODUCT(--ISNUMBER(SEARCH(","&amp;Verpleegkundigen!$C$2:$C$100&amp;",",","&amp;LOWER(SUBSTITUTE(SUBSTITUTE($J9," ",""),CHAR(160),""))&amp;","))*(Verpleegkundigen!$C$2:$C$100&lt;&gt;LOWER(SUBSTITUTE(SUBSTITUTE($K9," ",""),CHAR(160),""))),Verpleegkundigen!$B$2:$B$100)+IF($K9&lt;&gt;"",1,0))</f>
        <v/>
      </c>
      <c r="E9" s="69">
        <f>IF(F9&gt;D9,1,IF(F9=D9,0,-1))</f>
        <v>0</v>
      </c>
      <c r="F9" s="72" t="str">
        <f>IF(AND($J9="",$K9=""),"",SUMPRODUCT(--ISNUMBER(SEARCH(","&amp;Verpleegkundigen!$C$2:$C$100&amp;",",","&amp;LOWER(SUBSTITUTE(SUBSTITUTE($J9," ",""),CHAR(160),""))&amp;","))*(Verpleegkundigen!$C$2:$C$100&lt;&gt;LOWER(SUBSTITUTE(SUBSTITUTE($K9," ",""),CHAR(160),""))),Verpleegkundigen!$B$2:$B$100)+IF($K9&lt;&gt;"",1,0))</f>
        <v/>
      </c>
      <c r="G9" s="10" t="str">
        <f>IF(AND(C9&lt;&gt;"",D9&lt;&gt;"",C9&gt;D9),"+" &amp; TEXT(C9-D9,"0"),"")</f>
        <v/>
      </c>
      <c r="H9" s="4"/>
      <c r="I9" s="7">
        <f>IF($J9="",5,LEN($J9)-LEN(SUBSTITUTE($J9,",",""))+1)</f>
        <v>5</v>
      </c>
      <c r="J9" s="10"/>
      <c r="K9" s="10"/>
      <c r="L9" s="4"/>
    </row>
    <row r="10" spans="1:12" x14ac:dyDescent="0.25">
      <c r="A10" s="6">
        <v>46304</v>
      </c>
      <c r="B10" s="7" t="s">
        <v>18</v>
      </c>
      <c r="C10" s="7">
        <v>13</v>
      </c>
      <c r="D10" s="7" t="str">
        <f>IF(AND($J10="",$K10=""),"",SUMPRODUCT(--ISNUMBER(SEARCH(","&amp;Verpleegkundigen!$C$2:$C$100&amp;",",","&amp;LOWER(SUBSTITUTE(SUBSTITUTE($J10," ",""),CHAR(160),""))&amp;","))*(Verpleegkundigen!$C$2:$C$100&lt;&gt;LOWER(SUBSTITUTE(SUBSTITUTE($K10," ",""),CHAR(160),""))),Verpleegkundigen!$B$2:$B$100)+IF($K10&lt;&gt;"",1,0))</f>
        <v/>
      </c>
      <c r="E10" s="67">
        <f>IF(F10&gt;D10,1,IF(F10=D10,0,-1))</f>
        <v>0</v>
      </c>
      <c r="F10" s="92" t="str">
        <f>IF(AND($J10="",$K10=""),"",SUMPRODUCT(--ISNUMBER(SEARCH(","&amp;Verpleegkundigen!$C$2:$C$100&amp;",",","&amp;LOWER(SUBSTITUTE(SUBSTITUTE($J10," ",""),CHAR(160),""))&amp;","))*(Verpleegkundigen!$C$2:$C$100&lt;&gt;LOWER(SUBSTITUTE(SUBSTITUTE($K10," ",""),CHAR(160),""))),Verpleegkundigen!$B$2:$B$100)+IF($K10&lt;&gt;"",1,0))</f>
        <v/>
      </c>
      <c r="G10" s="7" t="str">
        <f>IF(AND(C10&lt;&gt;"",D10&lt;&gt;"",C10&gt;D10),"+" &amp; TEXT(C10-D10,"0"),"")</f>
        <v/>
      </c>
      <c r="H10" s="8"/>
      <c r="I10" s="7">
        <f>IF($J10="",5,LEN($J10)-LEN(SUBSTITUTE($J10,",",""))+1)</f>
        <v>5</v>
      </c>
      <c r="J10" s="7"/>
      <c r="K10" s="7"/>
      <c r="L10" s="8"/>
    </row>
    <row r="11" spans="1:12" x14ac:dyDescent="0.25">
      <c r="A11" s="3" t="s">
        <v>103</v>
      </c>
      <c r="B11" s="4"/>
      <c r="C11" s="4"/>
      <c r="D11" s="4"/>
      <c r="E11" s="64"/>
      <c r="F11" s="72" t="str">
        <f>IF(AND($J11="",$K11=""),"",SUMPRODUCT(--ISNUMBER(SEARCH(","&amp;Verpleegkundigen!$C$2:$C$100&amp;",",","&amp;LOWER(SUBSTITUTE(SUBSTITUTE($J11," ",""),CHAR(160),""))&amp;","))*(Verpleegkundigen!$C$2:$C$100&lt;&gt;LOWER(SUBSTITUTE(SUBSTITUTE($K11," ",""),CHAR(160),""))),Verpleegkundigen!$B$2:$B$100)+IF($K11&lt;&gt;"",1,0))</f>
        <v/>
      </c>
      <c r="G11" s="4"/>
      <c r="H11" s="4"/>
      <c r="I11" s="5"/>
      <c r="J11" s="4"/>
      <c r="K11" s="4"/>
      <c r="L11" s="4"/>
    </row>
    <row r="12" spans="1:12" x14ac:dyDescent="0.25">
      <c r="A12" s="6">
        <v>46307</v>
      </c>
      <c r="B12" s="7" t="s">
        <v>10</v>
      </c>
      <c r="C12" s="7">
        <v>6</v>
      </c>
      <c r="D12" s="7" t="str">
        <f>IF(AND($J12="",$K12=""),"",SUMPRODUCT(--ISNUMBER(SEARCH(","&amp;Verpleegkundigen!$C$2:$C$100&amp;",",","&amp;LOWER(SUBSTITUTE(SUBSTITUTE($J12," ",""),CHAR(160),""))&amp;","))*(Verpleegkundigen!$C$2:$C$100&lt;&gt;LOWER(SUBSTITUTE(SUBSTITUTE($K12," ",""),CHAR(160),""))),Verpleegkundigen!$B$2:$B$100)+IF($K12&lt;&gt;"",1,0))</f>
        <v/>
      </c>
      <c r="E12" s="67">
        <f>IF(F12&gt;D12,1,IF(F12=D12,0,-1))</f>
        <v>0</v>
      </c>
      <c r="F12" s="92" t="str">
        <f>IF(AND($J12="",$K12=""),"",SUMPRODUCT(--ISNUMBER(SEARCH(","&amp;Verpleegkundigen!$C$2:$C$100&amp;",",","&amp;LOWER(SUBSTITUTE(SUBSTITUTE($J12," ",""),CHAR(160),""))&amp;","))*(Verpleegkundigen!$C$2:$C$100&lt;&gt;LOWER(SUBSTITUTE(SUBSTITUTE($K12," ",""),CHAR(160),""))),Verpleegkundigen!$B$2:$B$100)+IF($K12&lt;&gt;"",1,0))</f>
        <v/>
      </c>
      <c r="G12" s="7" t="str">
        <f>IF(AND(C12&lt;&gt;"",D12&lt;&gt;"",C12&gt;D12),"+" &amp; TEXT(C12-D12,"0"),"")</f>
        <v/>
      </c>
      <c r="H12" s="8"/>
      <c r="I12" s="7">
        <f>IF($J12="",5,LEN($J12)-LEN(SUBSTITUTE($J12,",",""))+1)</f>
        <v>5</v>
      </c>
      <c r="J12" s="7"/>
      <c r="K12" s="7"/>
      <c r="L12" s="8"/>
    </row>
    <row r="13" spans="1:12" x14ac:dyDescent="0.25">
      <c r="A13" s="9">
        <v>46308</v>
      </c>
      <c r="B13" s="10" t="s">
        <v>12</v>
      </c>
      <c r="C13" s="10">
        <v>1</v>
      </c>
      <c r="D13" s="10" t="str">
        <f>IF(AND($J13="",$K13=""),"",SUMPRODUCT(--ISNUMBER(SEARCH(","&amp;Verpleegkundigen!$C$2:$C$100&amp;",",","&amp;LOWER(SUBSTITUTE(SUBSTITUTE($J13," ",""),CHAR(160),""))&amp;","))*(Verpleegkundigen!$C$2:$C$100&lt;&gt;LOWER(SUBSTITUTE(SUBSTITUTE($K13," ",""),CHAR(160),""))),Verpleegkundigen!$B$2:$B$100)+IF($K13&lt;&gt;"",1,0))</f>
        <v/>
      </c>
      <c r="E13" s="64">
        <f>IF(F13&gt;D13,1,IF(F13=D13,0,-1))</f>
        <v>0</v>
      </c>
      <c r="F13" s="72" t="str">
        <f>IF(AND($J13="",$K13=""),"",SUMPRODUCT(--ISNUMBER(SEARCH(","&amp;Verpleegkundigen!$C$2:$C$100&amp;",",","&amp;LOWER(SUBSTITUTE(SUBSTITUTE($J13," ",""),CHAR(160),""))&amp;","))*(Verpleegkundigen!$C$2:$C$100&lt;&gt;LOWER(SUBSTITUTE(SUBSTITUTE($K13," ",""),CHAR(160),""))),Verpleegkundigen!$B$2:$B$100)+IF($K13&lt;&gt;"",1,0))</f>
        <v/>
      </c>
      <c r="G13" s="10" t="str">
        <f>IF(AND(C13&lt;&gt;"",D13&lt;&gt;"",C13&gt;D13),"+" &amp; TEXT(C13-D13,"0"),"")</f>
        <v/>
      </c>
      <c r="H13" s="4"/>
      <c r="I13" s="7">
        <f>IF($J13="",5,LEN($J13)-LEN(SUBSTITUTE($J13,",",""))+1)</f>
        <v>5</v>
      </c>
      <c r="J13" s="10"/>
      <c r="K13" s="10"/>
      <c r="L13" s="4"/>
    </row>
    <row r="14" spans="1:12" x14ac:dyDescent="0.25">
      <c r="A14" s="6">
        <v>46309</v>
      </c>
      <c r="B14" s="7" t="s">
        <v>14</v>
      </c>
      <c r="C14" s="7">
        <v>1</v>
      </c>
      <c r="D14" s="7" t="str">
        <f>IF(AND($J14="",$K14=""),"",SUMPRODUCT(--ISNUMBER(SEARCH(","&amp;Verpleegkundigen!$C$2:$C$100&amp;",",","&amp;LOWER(SUBSTITUTE(SUBSTITUTE($J14," ",""),CHAR(160),""))&amp;","))*(Verpleegkundigen!$C$2:$C$100&lt;&gt;LOWER(SUBSTITUTE(SUBSTITUTE($K14," ",""),CHAR(160),""))),Verpleegkundigen!$B$2:$B$100)+IF($K14&lt;&gt;"",1,0))</f>
        <v/>
      </c>
      <c r="E14" s="67">
        <f>IF(F14&gt;D14,1,IF(F14=D14,0,-1))</f>
        <v>0</v>
      </c>
      <c r="F14" s="92" t="str">
        <f>IF(AND($J14="",$K14=""),"",SUMPRODUCT(--ISNUMBER(SEARCH(","&amp;Verpleegkundigen!$C$2:$C$100&amp;",",","&amp;LOWER(SUBSTITUTE(SUBSTITUTE($J14," ",""),CHAR(160),""))&amp;","))*(Verpleegkundigen!$C$2:$C$100&lt;&gt;LOWER(SUBSTITUTE(SUBSTITUTE($K14," ",""),CHAR(160),""))),Verpleegkundigen!$B$2:$B$100)+IF($K14&lt;&gt;"",1,0))</f>
        <v/>
      </c>
      <c r="G14" s="7" t="str">
        <f>IF(AND(C14&lt;&gt;"",D14&lt;&gt;"",C14&gt;D14),"+" &amp; TEXT(C14-D14,"0"),"")</f>
        <v/>
      </c>
      <c r="H14" s="8"/>
      <c r="I14" s="7">
        <f>IF($J14="",5,LEN($J14)-LEN(SUBSTITUTE($J14,",",""))+1)</f>
        <v>5</v>
      </c>
      <c r="J14" s="7"/>
      <c r="K14" s="7"/>
      <c r="L14" s="8"/>
    </row>
    <row r="15" spans="1:12" x14ac:dyDescent="0.25">
      <c r="A15" s="9">
        <v>46310</v>
      </c>
      <c r="B15" s="10" t="s">
        <v>16</v>
      </c>
      <c r="C15" s="10">
        <v>1</v>
      </c>
      <c r="D15" s="10" t="str">
        <f>IF(AND($J15="",$K15=""),"",SUMPRODUCT(--ISNUMBER(SEARCH(","&amp;Verpleegkundigen!$C$2:$C$100&amp;",",","&amp;LOWER(SUBSTITUTE(SUBSTITUTE($J15," ",""),CHAR(160),""))&amp;","))*(Verpleegkundigen!$C$2:$C$100&lt;&gt;LOWER(SUBSTITUTE(SUBSTITUTE($K15," ",""),CHAR(160),""))),Verpleegkundigen!$B$2:$B$100)+IF($K15&lt;&gt;"",1,0))</f>
        <v/>
      </c>
      <c r="E15" s="69">
        <f>IF(F15&gt;D15,1,IF(F15=D15,0,-1))</f>
        <v>0</v>
      </c>
      <c r="F15" s="72" t="str">
        <f>IF(AND($J15="",$K15=""),"",SUMPRODUCT(--ISNUMBER(SEARCH(","&amp;Verpleegkundigen!$C$2:$C$100&amp;",",","&amp;LOWER(SUBSTITUTE(SUBSTITUTE($J15," ",""),CHAR(160),""))&amp;","))*(Verpleegkundigen!$C$2:$C$100&lt;&gt;LOWER(SUBSTITUTE(SUBSTITUTE($K15," ",""),CHAR(160),""))),Verpleegkundigen!$B$2:$B$100)+IF($K15&lt;&gt;"",1,0))</f>
        <v/>
      </c>
      <c r="G15" s="10" t="str">
        <f>IF(AND(C15&lt;&gt;"",D15&lt;&gt;"",C15&gt;D15),"+" &amp; TEXT(C15-D15,"0"),"")</f>
        <v/>
      </c>
      <c r="H15" s="4"/>
      <c r="I15" s="7">
        <f>IF($J15="",5,LEN($J15)-LEN(SUBSTITUTE($J15,",",""))+1)</f>
        <v>5</v>
      </c>
      <c r="J15" s="10"/>
      <c r="K15" s="10"/>
      <c r="L15" s="4"/>
    </row>
    <row r="16" spans="1:12" x14ac:dyDescent="0.25">
      <c r="A16" s="6">
        <v>46311</v>
      </c>
      <c r="B16" s="7" t="s">
        <v>18</v>
      </c>
      <c r="C16" s="7">
        <v>1</v>
      </c>
      <c r="D16" s="7" t="str">
        <f>IF(AND($J16="",$K16=""),"",SUMPRODUCT(--ISNUMBER(SEARCH(","&amp;Verpleegkundigen!$C$2:$C$100&amp;",",","&amp;LOWER(SUBSTITUTE(SUBSTITUTE($J16," ",""),CHAR(160),""))&amp;","))*(Verpleegkundigen!$C$2:$C$100&lt;&gt;LOWER(SUBSTITUTE(SUBSTITUTE($K16," ",""),CHAR(160),""))),Verpleegkundigen!$B$2:$B$100)+IF($K16&lt;&gt;"",1,0))</f>
        <v/>
      </c>
      <c r="E16" s="67">
        <f>IF(F16&gt;D16,1,IF(F16=D16,0,-1))</f>
        <v>0</v>
      </c>
      <c r="F16" s="92" t="str">
        <f>IF(AND($J16="",$K16=""),"",SUMPRODUCT(--ISNUMBER(SEARCH(","&amp;Verpleegkundigen!$C$2:$C$100&amp;",",","&amp;LOWER(SUBSTITUTE(SUBSTITUTE($J16," ",""),CHAR(160),""))&amp;","))*(Verpleegkundigen!$C$2:$C$100&lt;&gt;LOWER(SUBSTITUTE(SUBSTITUTE($K16," ",""),CHAR(160),""))),Verpleegkundigen!$B$2:$B$100)+IF($K16&lt;&gt;"",1,0))</f>
        <v/>
      </c>
      <c r="G16" s="7" t="str">
        <f>IF(AND(C16&lt;&gt;"",D16&lt;&gt;"",C16&gt;D16),"+" &amp; TEXT(C16-D16,"0"),"")</f>
        <v/>
      </c>
      <c r="H16" s="8"/>
      <c r="I16" s="7">
        <f>IF($J16="",5,LEN($J16)-LEN(SUBSTITUTE($J16,",",""))+1)</f>
        <v>5</v>
      </c>
      <c r="J16" s="7"/>
      <c r="K16" s="7"/>
      <c r="L16" s="8"/>
    </row>
    <row r="17" spans="1:12" x14ac:dyDescent="0.25">
      <c r="A17" s="3" t="s">
        <v>104</v>
      </c>
      <c r="B17" s="4"/>
      <c r="C17" s="4"/>
      <c r="D17" s="4"/>
      <c r="E17" s="64"/>
      <c r="F17" s="72" t="str">
        <f>IF(AND($J17="",$K17=""),"",SUMPRODUCT(--ISNUMBER(SEARCH(","&amp;Verpleegkundigen!$C$2:$C$100&amp;",",","&amp;LOWER(SUBSTITUTE(SUBSTITUTE($J17," ",""),CHAR(160),""))&amp;","))*(Verpleegkundigen!$C$2:$C$100&lt;&gt;LOWER(SUBSTITUTE(SUBSTITUTE($K17," ",""),CHAR(160),""))),Verpleegkundigen!$B$2:$B$100)+IF($K17&lt;&gt;"",1,0))</f>
        <v/>
      </c>
      <c r="G17" s="4"/>
      <c r="H17" s="4"/>
      <c r="I17" s="5"/>
      <c r="J17" s="4"/>
      <c r="K17" s="4"/>
      <c r="L17" s="4"/>
    </row>
    <row r="18" spans="1:12" x14ac:dyDescent="0.25">
      <c r="A18" s="6">
        <v>46314</v>
      </c>
      <c r="B18" s="7" t="s">
        <v>10</v>
      </c>
      <c r="C18" s="7">
        <v>0</v>
      </c>
      <c r="D18" s="7" t="str">
        <f>IF(AND($J18="",$K18=""),"",SUMPRODUCT(--ISNUMBER(SEARCH(","&amp;Verpleegkundigen!$C$2:$C$100&amp;",",","&amp;LOWER(SUBSTITUTE(SUBSTITUTE($J18," ",""),CHAR(160),""))&amp;","))*(Verpleegkundigen!$C$2:$C$100&lt;&gt;LOWER(SUBSTITUTE(SUBSTITUTE($K18," ",""),CHAR(160),""))),Verpleegkundigen!$B$2:$B$100)+IF($K18&lt;&gt;"",1,0))</f>
        <v/>
      </c>
      <c r="E18" s="67">
        <f>IF(F18&gt;D18,1,IF(F18=D18,0,-1))</f>
        <v>0</v>
      </c>
      <c r="F18" s="92" t="str">
        <f>IF(AND($J18="",$K18=""),"",SUMPRODUCT(--ISNUMBER(SEARCH(","&amp;Verpleegkundigen!$C$2:$C$100&amp;",",","&amp;LOWER(SUBSTITUTE(SUBSTITUTE($J18," ",""),CHAR(160),""))&amp;","))*(Verpleegkundigen!$C$2:$C$100&lt;&gt;LOWER(SUBSTITUTE(SUBSTITUTE($K18," ",""),CHAR(160),""))),Verpleegkundigen!$B$2:$B$100)+IF($K18&lt;&gt;"",1,0))</f>
        <v/>
      </c>
      <c r="G18" s="7" t="str">
        <f>IF(AND(C18&lt;&gt;"",D18&lt;&gt;"",C18&gt;D18),"+" &amp; TEXT(C18-D18,"0"),"")</f>
        <v/>
      </c>
      <c r="H18" s="8"/>
      <c r="I18" s="7">
        <f>IF($J18="",5,LEN($J18)-LEN(SUBSTITUTE($J18,",",""))+1)</f>
        <v>5</v>
      </c>
      <c r="J18" s="7"/>
      <c r="K18" s="7"/>
      <c r="L18" s="8"/>
    </row>
    <row r="19" spans="1:12" x14ac:dyDescent="0.25">
      <c r="A19" s="9">
        <v>46315</v>
      </c>
      <c r="B19" s="10" t="s">
        <v>12</v>
      </c>
      <c r="C19" s="10">
        <v>0</v>
      </c>
      <c r="D19" s="10" t="str">
        <f>IF(AND($J19="",$K19=""),"",SUMPRODUCT(--ISNUMBER(SEARCH(","&amp;Verpleegkundigen!$C$2:$C$100&amp;",",","&amp;LOWER(SUBSTITUTE(SUBSTITUTE($J19," ",""),CHAR(160),""))&amp;","))*(Verpleegkundigen!$C$2:$C$100&lt;&gt;LOWER(SUBSTITUTE(SUBSTITUTE($K19," ",""),CHAR(160),""))),Verpleegkundigen!$B$2:$B$100)+IF($K19&lt;&gt;"",1,0))</f>
        <v/>
      </c>
      <c r="E19" s="64">
        <f>IF(F19&gt;D19,1,IF(F19=D19,0,-1))</f>
        <v>0</v>
      </c>
      <c r="F19" s="72" t="str">
        <f>IF(AND($J19="",$K19=""),"",SUMPRODUCT(--ISNUMBER(SEARCH(","&amp;Verpleegkundigen!$C$2:$C$100&amp;",",","&amp;LOWER(SUBSTITUTE(SUBSTITUTE($J19," ",""),CHAR(160),""))&amp;","))*(Verpleegkundigen!$C$2:$C$100&lt;&gt;LOWER(SUBSTITUTE(SUBSTITUTE($K19," ",""),CHAR(160),""))),Verpleegkundigen!$B$2:$B$100)+IF($K19&lt;&gt;"",1,0))</f>
        <v/>
      </c>
      <c r="G19" s="10" t="str">
        <f>IF(AND(C19&lt;&gt;"",D19&lt;&gt;"",C19&gt;D19),"+" &amp; TEXT(C19-D19,"0"),"")</f>
        <v/>
      </c>
      <c r="H19" s="4"/>
      <c r="I19" s="7">
        <f>IF($J19="",5,LEN($J19)-LEN(SUBSTITUTE($J19,",",""))+1)</f>
        <v>5</v>
      </c>
      <c r="J19" s="10"/>
      <c r="K19" s="10"/>
      <c r="L19" s="4"/>
    </row>
    <row r="20" spans="1:12" x14ac:dyDescent="0.25">
      <c r="A20" s="6">
        <v>46316</v>
      </c>
      <c r="B20" s="7" t="s">
        <v>14</v>
      </c>
      <c r="C20" s="7">
        <v>1</v>
      </c>
      <c r="D20" s="7" t="str">
        <f>IF(AND($J20="",$K20=""),"",SUMPRODUCT(--ISNUMBER(SEARCH(","&amp;Verpleegkundigen!$C$2:$C$100&amp;",",","&amp;LOWER(SUBSTITUTE(SUBSTITUTE($J20," ",""),CHAR(160),""))&amp;","))*(Verpleegkundigen!$C$2:$C$100&lt;&gt;LOWER(SUBSTITUTE(SUBSTITUTE($K20," ",""),CHAR(160),""))),Verpleegkundigen!$B$2:$B$100)+IF($K20&lt;&gt;"",1,0))</f>
        <v/>
      </c>
      <c r="E20" s="67">
        <f>IF(F20&gt;D20,1,IF(F20=D20,0,-1))</f>
        <v>0</v>
      </c>
      <c r="F20" s="92" t="str">
        <f>IF(AND($J20="",$K20=""),"",SUMPRODUCT(--ISNUMBER(SEARCH(","&amp;Verpleegkundigen!$C$2:$C$100&amp;",",","&amp;LOWER(SUBSTITUTE(SUBSTITUTE($J20," ",""),CHAR(160),""))&amp;","))*(Verpleegkundigen!$C$2:$C$100&lt;&gt;LOWER(SUBSTITUTE(SUBSTITUTE($K20," ",""),CHAR(160),""))),Verpleegkundigen!$B$2:$B$100)+IF($K20&lt;&gt;"",1,0))</f>
        <v/>
      </c>
      <c r="G20" s="7" t="str">
        <f>IF(AND(C20&lt;&gt;"",D20&lt;&gt;"",C20&gt;D20),"+" &amp; TEXT(C20-D20,"0"),"")</f>
        <v/>
      </c>
      <c r="H20" s="8"/>
      <c r="I20" s="7">
        <f>IF($J20="",5,LEN($J20)-LEN(SUBSTITUTE($J20,",",""))+1)</f>
        <v>5</v>
      </c>
      <c r="J20" s="7"/>
      <c r="K20" s="7"/>
      <c r="L20" s="8"/>
    </row>
    <row r="21" spans="1:12" x14ac:dyDescent="0.25">
      <c r="A21" s="9">
        <v>46317</v>
      </c>
      <c r="B21" s="10" t="s">
        <v>16</v>
      </c>
      <c r="C21" s="10">
        <v>0</v>
      </c>
      <c r="D21" s="10" t="str">
        <f>IF(AND($J21="",$K21=""),"",SUMPRODUCT(--ISNUMBER(SEARCH(","&amp;Verpleegkundigen!$C$2:$C$100&amp;",",","&amp;LOWER(SUBSTITUTE(SUBSTITUTE($J21," ",""),CHAR(160),""))&amp;","))*(Verpleegkundigen!$C$2:$C$100&lt;&gt;LOWER(SUBSTITUTE(SUBSTITUTE($K21," ",""),CHAR(160),""))),Verpleegkundigen!$B$2:$B$100)+IF($K21&lt;&gt;"",1,0))</f>
        <v/>
      </c>
      <c r="E21" s="64">
        <f>IF(F21&gt;D21,1,IF(F21=D21,0,-1))</f>
        <v>0</v>
      </c>
      <c r="F21" s="72" t="str">
        <f>IF(AND($J21="",$K21=""),"",SUMPRODUCT(--ISNUMBER(SEARCH(","&amp;Verpleegkundigen!$C$2:$C$100&amp;",",","&amp;LOWER(SUBSTITUTE(SUBSTITUTE($J21," ",""),CHAR(160),""))&amp;","))*(Verpleegkundigen!$C$2:$C$100&lt;&gt;LOWER(SUBSTITUTE(SUBSTITUTE($K21," ",""),CHAR(160),""))),Verpleegkundigen!$B$2:$B$100)+IF($K21&lt;&gt;"",1,0))</f>
        <v/>
      </c>
      <c r="G21" s="10" t="str">
        <f>IF(AND(C21&lt;&gt;"",D21&lt;&gt;"",C21&gt;D21),"+" &amp; TEXT(C21-D21,"0"),"")</f>
        <v/>
      </c>
      <c r="H21" s="4"/>
      <c r="I21" s="7">
        <f>IF($J21="",5,LEN($J21)-LEN(SUBSTITUTE($J21,",",""))+1)</f>
        <v>5</v>
      </c>
      <c r="J21" s="10"/>
      <c r="K21" s="10"/>
      <c r="L21" s="4"/>
    </row>
    <row r="22" spans="1:12" x14ac:dyDescent="0.25">
      <c r="A22" s="6">
        <v>46318</v>
      </c>
      <c r="B22" s="7" t="s">
        <v>18</v>
      </c>
      <c r="C22" s="7">
        <v>0</v>
      </c>
      <c r="D22" s="7" t="str">
        <f>IF(AND($J22="",$K22=""),"",SUMPRODUCT(--ISNUMBER(SEARCH(","&amp;Verpleegkundigen!$C$2:$C$100&amp;",",","&amp;LOWER(SUBSTITUTE(SUBSTITUTE($J22," ",""),CHAR(160),""))&amp;","))*(Verpleegkundigen!$C$2:$C$100&lt;&gt;LOWER(SUBSTITUTE(SUBSTITUTE($K22," ",""),CHAR(160),""))),Verpleegkundigen!$B$2:$B$100)+IF($K22&lt;&gt;"",1,0))</f>
        <v/>
      </c>
      <c r="E22" s="67">
        <f>IF(F22&gt;D22,1,IF(F22=D22,0,-1))</f>
        <v>0</v>
      </c>
      <c r="F22" s="92" t="str">
        <f>IF(AND($J22="",$K22=""),"",SUMPRODUCT(--ISNUMBER(SEARCH(","&amp;Verpleegkundigen!$C$2:$C$100&amp;",",","&amp;LOWER(SUBSTITUTE(SUBSTITUTE($J22," ",""),CHAR(160),""))&amp;","))*(Verpleegkundigen!$C$2:$C$100&lt;&gt;LOWER(SUBSTITUTE(SUBSTITUTE($K22," ",""),CHAR(160),""))),Verpleegkundigen!$B$2:$B$100)+IF($K22&lt;&gt;"",1,0))</f>
        <v/>
      </c>
      <c r="G22" s="7" t="str">
        <f>IF(AND(C22&lt;&gt;"",D22&lt;&gt;"",C22&gt;D22),"+" &amp; TEXT(C22-D22,"0"),"")</f>
        <v/>
      </c>
      <c r="H22" s="8"/>
      <c r="I22" s="7">
        <f>IF($J22="",5,LEN($J22)-LEN(SUBSTITUTE($J22,",",""))+1)</f>
        <v>5</v>
      </c>
      <c r="J22" s="7"/>
      <c r="K22" s="7"/>
      <c r="L22" s="8"/>
    </row>
    <row r="23" spans="1:12" x14ac:dyDescent="0.25">
      <c r="A23" s="3" t="s">
        <v>105</v>
      </c>
      <c r="B23" s="4"/>
      <c r="C23" s="4"/>
      <c r="D23" s="4"/>
      <c r="E23" s="64"/>
      <c r="F23" s="72" t="str">
        <f>IF(AND($J23="",$K23=""),"",SUMPRODUCT(--ISNUMBER(SEARCH(","&amp;Verpleegkundigen!$C$2:$C$100&amp;",",","&amp;LOWER(SUBSTITUTE(SUBSTITUTE($J23," ",""),CHAR(160),""))&amp;","))*(Verpleegkundigen!$C$2:$C$100&lt;&gt;LOWER(SUBSTITUTE(SUBSTITUTE($K23," ",""),CHAR(160),""))),Verpleegkundigen!$B$2:$B$100)+IF($K23&lt;&gt;"",1,0))</f>
        <v/>
      </c>
      <c r="G23" s="4"/>
      <c r="H23" s="4"/>
      <c r="I23" s="5"/>
      <c r="J23" s="4"/>
      <c r="K23" s="4"/>
      <c r="L23" s="4"/>
    </row>
    <row r="24" spans="1:12" x14ac:dyDescent="0.25">
      <c r="A24" s="6">
        <v>46321</v>
      </c>
      <c r="B24" s="7" t="s">
        <v>10</v>
      </c>
      <c r="C24" s="7">
        <v>0</v>
      </c>
      <c r="D24" s="7" t="str">
        <f>IF(AND($J24="",$K24=""),"",SUMPRODUCT(--ISNUMBER(SEARCH(","&amp;Verpleegkundigen!$C$2:$C$100&amp;",",","&amp;LOWER(SUBSTITUTE(SUBSTITUTE($J24," ",""),CHAR(160),""))&amp;","))*(Verpleegkundigen!$C$2:$C$100&lt;&gt;LOWER(SUBSTITUTE(SUBSTITUTE($K24," ",""),CHAR(160),""))),Verpleegkundigen!$B$2:$B$100)+IF($K24&lt;&gt;"",1,0))</f>
        <v/>
      </c>
      <c r="E24" s="67">
        <f>IF(F24&gt;D24,1,IF(F24=D24,0,-1))</f>
        <v>0</v>
      </c>
      <c r="F24" s="92" t="str">
        <f>IF(AND($J24="",$K24=""),"",SUMPRODUCT(--ISNUMBER(SEARCH(","&amp;Verpleegkundigen!$C$2:$C$100&amp;",",","&amp;LOWER(SUBSTITUTE(SUBSTITUTE($J24," ",""),CHAR(160),""))&amp;","))*(Verpleegkundigen!$C$2:$C$100&lt;&gt;LOWER(SUBSTITUTE(SUBSTITUTE($K24," ",""),CHAR(160),""))),Verpleegkundigen!$B$2:$B$100)+IF($K24&lt;&gt;"",1,0))</f>
        <v/>
      </c>
      <c r="G24" s="7" t="str">
        <f>IF(AND(C24&lt;&gt;"",D24&lt;&gt;"",C24&gt;D24),"+" &amp; TEXT(C24-D24,"0"),"")</f>
        <v/>
      </c>
      <c r="H24" s="8"/>
      <c r="I24" s="7">
        <f>IF($J24="",5,LEN($J24)-LEN(SUBSTITUTE($J24,",",""))+1)</f>
        <v>5</v>
      </c>
      <c r="J24" s="7"/>
      <c r="K24" s="7"/>
      <c r="L24" s="8"/>
    </row>
    <row r="25" spans="1:12" x14ac:dyDescent="0.25">
      <c r="A25" s="9">
        <v>46322</v>
      </c>
      <c r="B25" s="10" t="s">
        <v>12</v>
      </c>
      <c r="C25" s="10">
        <v>0</v>
      </c>
      <c r="D25" s="10" t="str">
        <f>IF(AND($J25="",$K25=""),"",SUMPRODUCT(--ISNUMBER(SEARCH(","&amp;Verpleegkundigen!$C$2:$C$100&amp;",",","&amp;LOWER(SUBSTITUTE(SUBSTITUTE($J25," ",""),CHAR(160),""))&amp;","))*(Verpleegkundigen!$C$2:$C$100&lt;&gt;LOWER(SUBSTITUTE(SUBSTITUTE($K25," ",""),CHAR(160),""))),Verpleegkundigen!$B$2:$B$100)+IF($K25&lt;&gt;"",1,0))</f>
        <v/>
      </c>
      <c r="E25" s="64">
        <f>IF(F25&gt;D25,1,IF(F25=D25,0,-1))</f>
        <v>0</v>
      </c>
      <c r="F25" s="72" t="str">
        <f>IF(AND($J25="",$K25=""),"",SUMPRODUCT(--ISNUMBER(SEARCH(","&amp;Verpleegkundigen!$C$2:$C$100&amp;",",","&amp;LOWER(SUBSTITUTE(SUBSTITUTE($J25," ",""),CHAR(160),""))&amp;","))*(Verpleegkundigen!$C$2:$C$100&lt;&gt;LOWER(SUBSTITUTE(SUBSTITUTE($K25," ",""),CHAR(160),""))),Verpleegkundigen!$B$2:$B$100)+IF($K25&lt;&gt;"",1,0))</f>
        <v/>
      </c>
      <c r="G25" s="10" t="str">
        <f>IF(AND(C25&lt;&gt;"",D25&lt;&gt;"",C25&gt;D25),"+" &amp; TEXT(C25-D25,"0"),"")</f>
        <v/>
      </c>
      <c r="H25" s="4"/>
      <c r="I25" s="7">
        <f>IF($J25="",5,LEN($J25)-LEN(SUBSTITUTE($J25,",",""))+1)</f>
        <v>5</v>
      </c>
      <c r="J25" s="10"/>
      <c r="K25" s="10"/>
      <c r="L25" s="4"/>
    </row>
    <row r="26" spans="1:12" x14ac:dyDescent="0.25">
      <c r="A26" s="6">
        <v>46323</v>
      </c>
      <c r="B26" s="7" t="s">
        <v>14</v>
      </c>
      <c r="C26" s="7">
        <v>0</v>
      </c>
      <c r="D26" s="7" t="str">
        <f>IF(AND($J26="",$K26=""),"",SUMPRODUCT(--ISNUMBER(SEARCH(","&amp;Verpleegkundigen!$C$2:$C$100&amp;",",","&amp;LOWER(SUBSTITUTE(SUBSTITUTE($J26," ",""),CHAR(160),""))&amp;","))*(Verpleegkundigen!$C$2:$C$100&lt;&gt;LOWER(SUBSTITUTE(SUBSTITUTE($K26," ",""),CHAR(160),""))),Verpleegkundigen!$B$2:$B$100)+IF($K26&lt;&gt;"",1,0))</f>
        <v/>
      </c>
      <c r="E26" s="67">
        <f>IF(F26&gt;D26,1,IF(F26=D26,0,-1))</f>
        <v>0</v>
      </c>
      <c r="F26" s="92" t="str">
        <f>IF(AND($J26="",$K26=""),"",SUMPRODUCT(--ISNUMBER(SEARCH(","&amp;Verpleegkundigen!$C$2:$C$100&amp;",",","&amp;LOWER(SUBSTITUTE(SUBSTITUTE($J26," ",""),CHAR(160),""))&amp;","))*(Verpleegkundigen!$C$2:$C$100&lt;&gt;LOWER(SUBSTITUTE(SUBSTITUTE($K26," ",""),CHAR(160),""))),Verpleegkundigen!$B$2:$B$100)+IF($K26&lt;&gt;"",1,0))</f>
        <v/>
      </c>
      <c r="G26" s="7" t="str">
        <f>IF(AND(C26&lt;&gt;"",D26&lt;&gt;"",C26&gt;D26),"+" &amp; TEXT(C26-D26,"0"),"")</f>
        <v/>
      </c>
      <c r="H26" s="8"/>
      <c r="I26" s="7">
        <f>IF($J26="",5,LEN($J26)-LEN(SUBSTITUTE($J26,",",""))+1)</f>
        <v>5</v>
      </c>
      <c r="J26" s="7"/>
      <c r="K26" s="7"/>
      <c r="L26" s="8"/>
    </row>
    <row r="27" spans="1:12" x14ac:dyDescent="0.25">
      <c r="A27" s="9">
        <v>46324</v>
      </c>
      <c r="B27" s="10" t="s">
        <v>16</v>
      </c>
      <c r="C27" s="10">
        <v>0</v>
      </c>
      <c r="D27" s="10" t="str">
        <f>IF(AND($J27="",$K27=""),"",SUMPRODUCT(--ISNUMBER(SEARCH(","&amp;Verpleegkundigen!$C$2:$C$100&amp;",",","&amp;LOWER(SUBSTITUTE(SUBSTITUTE($J27," ",""),CHAR(160),""))&amp;","))*(Verpleegkundigen!$C$2:$C$100&lt;&gt;LOWER(SUBSTITUTE(SUBSTITUTE($K27," ",""),CHAR(160),""))),Verpleegkundigen!$B$2:$B$100)+IF($K27&lt;&gt;"",1,0))</f>
        <v/>
      </c>
      <c r="E27" s="64">
        <f>IF(F27&gt;D27,1,IF(F27=D27,0,-1))</f>
        <v>0</v>
      </c>
      <c r="F27" s="72" t="str">
        <f>IF(AND($J27="",$K27=""),"",SUMPRODUCT(--ISNUMBER(SEARCH(","&amp;Verpleegkundigen!$C$2:$C$100&amp;",",","&amp;LOWER(SUBSTITUTE(SUBSTITUTE($J27," ",""),CHAR(160),""))&amp;","))*(Verpleegkundigen!$C$2:$C$100&lt;&gt;LOWER(SUBSTITUTE(SUBSTITUTE($K27," ",""),CHAR(160),""))),Verpleegkundigen!$B$2:$B$100)+IF($K27&lt;&gt;"",1,0))</f>
        <v/>
      </c>
      <c r="G27" s="10" t="str">
        <f>IF(AND(C27&lt;&gt;"",D27&lt;&gt;"",C27&gt;D27),"+" &amp; TEXT(C27-D27,"0"),"")</f>
        <v/>
      </c>
      <c r="H27" s="4"/>
      <c r="I27" s="7">
        <f>IF($J27="",5,LEN($J27)-LEN(SUBSTITUTE($J27,",",""))+1)</f>
        <v>5</v>
      </c>
      <c r="J27" s="10"/>
      <c r="K27" s="10"/>
      <c r="L27" s="4"/>
    </row>
    <row r="28" spans="1:12" x14ac:dyDescent="0.25">
      <c r="A28" s="6">
        <v>46325</v>
      </c>
      <c r="B28" s="7" t="s">
        <v>18</v>
      </c>
      <c r="C28" s="7">
        <v>0</v>
      </c>
      <c r="D28" s="7" t="str">
        <f>IF(AND($J28="",$K28=""),"",SUMPRODUCT(--ISNUMBER(SEARCH(","&amp;Verpleegkundigen!$C$2:$C$100&amp;",",","&amp;LOWER(SUBSTITUTE(SUBSTITUTE($J28," ",""),CHAR(160),""))&amp;","))*(Verpleegkundigen!$C$2:$C$100&lt;&gt;LOWER(SUBSTITUTE(SUBSTITUTE($K28," ",""),CHAR(160),""))),Verpleegkundigen!$B$2:$B$100)+IF($K28&lt;&gt;"",1,0))</f>
        <v/>
      </c>
      <c r="E28" s="67">
        <f>IF(F28&gt;D28,1,IF(F28=D28,0,-1))</f>
        <v>0</v>
      </c>
      <c r="F28" s="92" t="str">
        <f>IF(AND($J28="",$K28=""),"",SUMPRODUCT(--ISNUMBER(SEARCH(","&amp;Verpleegkundigen!$C$2:$C$100&amp;",",","&amp;LOWER(SUBSTITUTE(SUBSTITUTE($J28," ",""),CHAR(160),""))&amp;","))*(Verpleegkundigen!$C$2:$C$100&lt;&gt;LOWER(SUBSTITUTE(SUBSTITUTE($K28," ",""),CHAR(160),""))),Verpleegkundigen!$B$2:$B$100)+IF($K28&lt;&gt;"",1,0))</f>
        <v/>
      </c>
      <c r="G28" s="7" t="str">
        <f>IF(AND(C28&lt;&gt;"",D28&lt;&gt;"",C28&gt;D28),"+" &amp; TEXT(C28-D28,"0"),"")</f>
        <v/>
      </c>
      <c r="H28" s="8"/>
      <c r="I28" s="7">
        <f>IF($J28="",5,LEN($J28)-LEN(SUBSTITUTE($J28,",",""))+1)</f>
        <v>5</v>
      </c>
      <c r="J28" s="7"/>
      <c r="K28" s="7"/>
      <c r="L28" s="8"/>
    </row>
  </sheetData>
  <conditionalFormatting sqref="C3:C25 C28">
    <cfRule type="expression" dxfId="29" priority="28">
      <formula>AND(ISNUMBER($C3),ISNUMBER($D3),$C3&lt;0.8*$D3)</formula>
    </cfRule>
    <cfRule type="expression" dxfId="28" priority="29">
      <formula>AND(ISNUMBER($C3),ISNUMBER($D3),$C3&gt;=0.8*$D3,$C3&lt;$D3)</formula>
    </cfRule>
    <cfRule type="expression" dxfId="27" priority="30">
      <formula>AND(ISNUMBER($C3),ISNUMBER($D3),$C3&gt;=$D3)</formula>
    </cfRule>
  </conditionalFormatting>
  <conditionalFormatting sqref="I3:I25 I28">
    <cfRule type="expression" dxfId="26" priority="25">
      <formula>$I3=2</formula>
    </cfRule>
    <cfRule type="expression" dxfId="25" priority="26">
      <formula>OR($I3=3,$I3=4)</formula>
    </cfRule>
    <cfRule type="expression" dxfId="24" priority="27">
      <formula>$I3&gt;=5</formula>
    </cfRule>
  </conditionalFormatting>
  <conditionalFormatting sqref="C26:C27">
    <cfRule type="expression" dxfId="23" priority="22">
      <formula>AND(ISNUMBER($C26),ISNUMBER($D26),$C26&lt;0.8*$D26)</formula>
    </cfRule>
    <cfRule type="expression" dxfId="22" priority="23">
      <formula>AND(ISNUMBER($C26),ISNUMBER($D26),$C26&gt;=0.8*$D26,$C26&lt;$D26)</formula>
    </cfRule>
    <cfRule type="expression" dxfId="21" priority="24">
      <formula>AND(ISNUMBER($C26),ISNUMBER($D26),$C26&gt;=$D26)</formula>
    </cfRule>
  </conditionalFormatting>
  <conditionalFormatting sqref="I26:I27">
    <cfRule type="expression" dxfId="20" priority="19">
      <formula>$I26=2</formula>
    </cfRule>
    <cfRule type="expression" dxfId="19" priority="20">
      <formula>OR($I26=3,$I26=4)</formula>
    </cfRule>
    <cfRule type="expression" dxfId="18" priority="21">
      <formula>$I26&gt;=5</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iconSet" priority="18" id="{1BC98370-44B0-4247-BE4C-226E5F6443EF}">
            <x14:iconSet iconSet="3Triangles" showValue="0">
              <x14:cfvo type="percent">
                <xm:f>0</xm:f>
              </x14:cfvo>
              <x14:cfvo type="formula">
                <xm:f>0</xm:f>
              </x14:cfvo>
              <x14:cfvo type="formula">
                <xm:f>1</xm:f>
              </x14:cfvo>
            </x14:iconSet>
          </x14:cfRule>
          <xm:sqref>E3 E23 E17 E11 E5 E21 E15 E9 E7</xm:sqref>
        </x14:conditionalFormatting>
        <x14:conditionalFormatting xmlns:xm="http://schemas.microsoft.com/office/excel/2006/main">
          <x14:cfRule type="iconSet" priority="17" id="{ABB04967-5438-45AC-B750-58842FBF8BF7}">
            <x14:iconSet iconSet="3Triangles" showValue="0">
              <x14:cfvo type="percent">
                <xm:f>0</xm:f>
              </x14:cfvo>
              <x14:cfvo type="formula">
                <xm:f>0</xm:f>
              </x14:cfvo>
              <x14:cfvo type="formula">
                <xm:f>1</xm:f>
              </x14:cfvo>
            </x14:iconSet>
          </x14:cfRule>
          <xm:sqref>E27</xm:sqref>
        </x14:conditionalFormatting>
        <x14:conditionalFormatting xmlns:xm="http://schemas.microsoft.com/office/excel/2006/main">
          <x14:cfRule type="iconSet" priority="16" id="{69AD74E5-CFCC-40B6-A9BB-66C553CCA579}">
            <x14:iconSet iconSet="3Triangles" showValue="0">
              <x14:cfvo type="percent">
                <xm:f>0</xm:f>
              </x14:cfvo>
              <x14:cfvo type="formula">
                <xm:f>0</xm:f>
              </x14:cfvo>
              <x14:cfvo type="formula">
                <xm:f>1</xm:f>
              </x14:cfvo>
            </x14:iconSet>
          </x14:cfRule>
          <xm:sqref>E22</xm:sqref>
        </x14:conditionalFormatting>
        <x14:conditionalFormatting xmlns:xm="http://schemas.microsoft.com/office/excel/2006/main">
          <x14:cfRule type="iconSet" priority="15" id="{14DF9B82-D28E-460A-B37F-3F1A349AE0E6}">
            <x14:iconSet iconSet="3Triangles" showValue="0">
              <x14:cfvo type="percent">
                <xm:f>0</xm:f>
              </x14:cfvo>
              <x14:cfvo type="formula">
                <xm:f>0</xm:f>
              </x14:cfvo>
              <x14:cfvo type="formula">
                <xm:f>1</xm:f>
              </x14:cfvo>
            </x14:iconSet>
          </x14:cfRule>
          <xm:sqref>E16</xm:sqref>
        </x14:conditionalFormatting>
        <x14:conditionalFormatting xmlns:xm="http://schemas.microsoft.com/office/excel/2006/main">
          <x14:cfRule type="iconSet" priority="14" id="{842A813F-0706-4553-9607-D4AAF5AC0706}">
            <x14:iconSet iconSet="3Triangles" showValue="0">
              <x14:cfvo type="percent">
                <xm:f>0</xm:f>
              </x14:cfvo>
              <x14:cfvo type="formula">
                <xm:f>0</xm:f>
              </x14:cfvo>
              <x14:cfvo type="formula">
                <xm:f>1</xm:f>
              </x14:cfvo>
            </x14:iconSet>
          </x14:cfRule>
          <xm:sqref>E10</xm:sqref>
        </x14:conditionalFormatting>
        <x14:conditionalFormatting xmlns:xm="http://schemas.microsoft.com/office/excel/2006/main">
          <x14:cfRule type="iconSet" priority="13" id="{DC029B22-18C2-4B09-9B9E-45A0005A613C}">
            <x14:iconSet iconSet="3Triangles" showValue="0">
              <x14:cfvo type="percent">
                <xm:f>0</xm:f>
              </x14:cfvo>
              <x14:cfvo type="formula">
                <xm:f>0</xm:f>
              </x14:cfvo>
              <x14:cfvo type="formula">
                <xm:f>1</xm:f>
              </x14:cfvo>
            </x14:iconSet>
          </x14:cfRule>
          <xm:sqref>E4</xm:sqref>
        </x14:conditionalFormatting>
        <x14:conditionalFormatting xmlns:xm="http://schemas.microsoft.com/office/excel/2006/main">
          <x14:cfRule type="iconSet" priority="12" id="{030F8A94-3BF0-4C24-8264-E729CC2E0320}">
            <x14:iconSet iconSet="3Triangles" showValue="0">
              <x14:cfvo type="percent">
                <xm:f>0</xm:f>
              </x14:cfvo>
              <x14:cfvo type="formula">
                <xm:f>0</xm:f>
              </x14:cfvo>
              <x14:cfvo type="formula">
                <xm:f>1</xm:f>
              </x14:cfvo>
            </x14:iconSet>
          </x14:cfRule>
          <xm:sqref>E6</xm:sqref>
        </x14:conditionalFormatting>
        <x14:conditionalFormatting xmlns:xm="http://schemas.microsoft.com/office/excel/2006/main">
          <x14:cfRule type="iconSet" priority="11" id="{07517957-93E0-4A70-9E43-A081A90DA29E}">
            <x14:iconSet iconSet="3Triangles" showValue="0">
              <x14:cfvo type="percent">
                <xm:f>0</xm:f>
              </x14:cfvo>
              <x14:cfvo type="formula">
                <xm:f>0</xm:f>
              </x14:cfvo>
              <x14:cfvo type="formula">
                <xm:f>1</xm:f>
              </x14:cfvo>
            </x14:iconSet>
          </x14:cfRule>
          <xm:sqref>E12</xm:sqref>
        </x14:conditionalFormatting>
        <x14:conditionalFormatting xmlns:xm="http://schemas.microsoft.com/office/excel/2006/main">
          <x14:cfRule type="iconSet" priority="10" id="{982668CC-41EB-4A58-B11A-B943154DAC03}">
            <x14:iconSet iconSet="3Triangles" showValue="0">
              <x14:cfvo type="percent">
                <xm:f>0</xm:f>
              </x14:cfvo>
              <x14:cfvo type="formula">
                <xm:f>0</xm:f>
              </x14:cfvo>
              <x14:cfvo type="formula">
                <xm:f>1</xm:f>
              </x14:cfvo>
            </x14:iconSet>
          </x14:cfRule>
          <xm:sqref>E18</xm:sqref>
        </x14:conditionalFormatting>
        <x14:conditionalFormatting xmlns:xm="http://schemas.microsoft.com/office/excel/2006/main">
          <x14:cfRule type="iconSet" priority="9" id="{4CF62832-D584-4117-8FC8-F483F71B0CDD}">
            <x14:iconSet iconSet="3Triangles" showValue="0">
              <x14:cfvo type="percent">
                <xm:f>0</xm:f>
              </x14:cfvo>
              <x14:cfvo type="formula">
                <xm:f>0</xm:f>
              </x14:cfvo>
              <x14:cfvo type="formula">
                <xm:f>1</xm:f>
              </x14:cfvo>
            </x14:iconSet>
          </x14:cfRule>
          <xm:sqref>E24</xm:sqref>
        </x14:conditionalFormatting>
        <x14:conditionalFormatting xmlns:xm="http://schemas.microsoft.com/office/excel/2006/main">
          <x14:cfRule type="iconSet" priority="8" id="{13E076E5-6834-42D5-BE5A-C0F70F63ABA1}">
            <x14:iconSet iconSet="3Triangles" showValue="0">
              <x14:cfvo type="percent">
                <xm:f>0</xm:f>
              </x14:cfvo>
              <x14:cfvo type="formula">
                <xm:f>0</xm:f>
              </x14:cfvo>
              <x14:cfvo type="formula">
                <xm:f>1</xm:f>
              </x14:cfvo>
            </x14:iconSet>
          </x14:cfRule>
          <xm:sqref>E14</xm:sqref>
        </x14:conditionalFormatting>
        <x14:conditionalFormatting xmlns:xm="http://schemas.microsoft.com/office/excel/2006/main">
          <x14:cfRule type="iconSet" priority="7" id="{0DD3000A-5281-41D6-8C66-00AB9DAAD5DC}">
            <x14:iconSet iconSet="3Triangles" showValue="0">
              <x14:cfvo type="percent">
                <xm:f>0</xm:f>
              </x14:cfvo>
              <x14:cfvo type="formula">
                <xm:f>0</xm:f>
              </x14:cfvo>
              <x14:cfvo type="formula">
                <xm:f>1</xm:f>
              </x14:cfvo>
            </x14:iconSet>
          </x14:cfRule>
          <xm:sqref>E20</xm:sqref>
        </x14:conditionalFormatting>
        <x14:conditionalFormatting xmlns:xm="http://schemas.microsoft.com/office/excel/2006/main">
          <x14:cfRule type="iconSet" priority="6" id="{7978F0D3-C91E-4087-9CBE-4FFBAA17CACE}">
            <x14:iconSet iconSet="3Triangles" showValue="0">
              <x14:cfvo type="percent">
                <xm:f>0</xm:f>
              </x14:cfvo>
              <x14:cfvo type="formula">
                <xm:f>0</xm:f>
              </x14:cfvo>
              <x14:cfvo type="formula">
                <xm:f>1</xm:f>
              </x14:cfvo>
            </x14:iconSet>
          </x14:cfRule>
          <xm:sqref>E26</xm:sqref>
        </x14:conditionalFormatting>
        <x14:conditionalFormatting xmlns:xm="http://schemas.microsoft.com/office/excel/2006/main">
          <x14:cfRule type="iconSet" priority="5" id="{34088A96-8CFE-48DB-AE3C-72C1355594CC}">
            <x14:iconSet iconSet="3Triangles" showValue="0">
              <x14:cfvo type="percent">
                <xm:f>0</xm:f>
              </x14:cfvo>
              <x14:cfvo type="formula">
                <xm:f>0</xm:f>
              </x14:cfvo>
              <x14:cfvo type="formula">
                <xm:f>1</xm:f>
              </x14:cfvo>
            </x14:iconSet>
          </x14:cfRule>
          <xm:sqref>E28</xm:sqref>
        </x14:conditionalFormatting>
        <x14:conditionalFormatting xmlns:xm="http://schemas.microsoft.com/office/excel/2006/main">
          <x14:cfRule type="iconSet" priority="4" id="{789A3FBA-C339-4379-ABA6-E104B5222A98}">
            <x14:iconSet iconSet="3Triangles" showValue="0">
              <x14:cfvo type="percent">
                <xm:f>0</xm:f>
              </x14:cfvo>
              <x14:cfvo type="formula">
                <xm:f>0</xm:f>
              </x14:cfvo>
              <x14:cfvo type="formula">
                <xm:f>1</xm:f>
              </x14:cfvo>
            </x14:iconSet>
          </x14:cfRule>
          <xm:sqref>E8</xm:sqref>
        </x14:conditionalFormatting>
        <x14:conditionalFormatting xmlns:xm="http://schemas.microsoft.com/office/excel/2006/main">
          <x14:cfRule type="iconSet" priority="3" id="{AA3F1B7B-9630-4192-98DF-C2E18E2FFE15}">
            <x14:iconSet iconSet="3Triangles" showValue="0">
              <x14:cfvo type="percent">
                <xm:f>0</xm:f>
              </x14:cfvo>
              <x14:cfvo type="formula">
                <xm:f>0</xm:f>
              </x14:cfvo>
              <x14:cfvo type="formula">
                <xm:f>1</xm:f>
              </x14:cfvo>
            </x14:iconSet>
          </x14:cfRule>
          <xm:sqref>E25</xm:sqref>
        </x14:conditionalFormatting>
        <x14:conditionalFormatting xmlns:xm="http://schemas.microsoft.com/office/excel/2006/main">
          <x14:cfRule type="iconSet" priority="2" id="{889096FF-363C-420B-A824-81EDA8B45085}">
            <x14:iconSet iconSet="3Triangles" showValue="0">
              <x14:cfvo type="percent">
                <xm:f>0</xm:f>
              </x14:cfvo>
              <x14:cfvo type="formula">
                <xm:f>0</xm:f>
              </x14:cfvo>
              <x14:cfvo type="formula">
                <xm:f>1</xm:f>
              </x14:cfvo>
            </x14:iconSet>
          </x14:cfRule>
          <xm:sqref>E19</xm:sqref>
        </x14:conditionalFormatting>
        <x14:conditionalFormatting xmlns:xm="http://schemas.microsoft.com/office/excel/2006/main">
          <x14:cfRule type="iconSet" priority="1" id="{15133C97-EA17-4888-92B7-B226E175C06F}">
            <x14:iconSet iconSet="3Triangles" showValue="0">
              <x14:cfvo type="percent">
                <xm:f>0</xm:f>
              </x14:cfvo>
              <x14:cfvo type="formula">
                <xm:f>0</xm:f>
              </x14:cfvo>
              <x14:cfvo type="formula">
                <xm:f>1</xm:f>
              </x14:cfvo>
            </x14:iconSet>
          </x14:cfRule>
          <xm:sqref>E13</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D28" sqref="D28"/>
    </sheetView>
  </sheetViews>
  <sheetFormatPr defaultColWidth="8.85546875" defaultRowHeight="15" x14ac:dyDescent="0.25"/>
  <cols>
    <col min="1" max="1" width="12.7109375" customWidth="1"/>
    <col min="2" max="2" width="8.7109375" customWidth="1"/>
    <col min="3" max="3" width="18.7109375" customWidth="1"/>
    <col min="4" max="4" width="32" bestFit="1" customWidth="1"/>
    <col min="5" max="5" width="4" customWidth="1"/>
    <col min="6" max="6" width="23.7109375" customWidth="1"/>
    <col min="7" max="7" width="14.7109375" customWidth="1"/>
    <col min="8" max="8" width="18.7109375" customWidth="1"/>
    <col min="9" max="9" width="10.7109375" customWidth="1"/>
    <col min="10" max="10" width="40.42578125" bestFit="1" customWidth="1"/>
    <col min="11" max="11" width="13.140625" bestFit="1" customWidth="1"/>
    <col min="12" max="12" width="19.28515625" bestFit="1" customWidth="1"/>
  </cols>
  <sheetData>
    <row r="1" spans="1:12" x14ac:dyDescent="0.25">
      <c r="A1" s="1" t="s">
        <v>0</v>
      </c>
      <c r="B1" s="1" t="s">
        <v>1</v>
      </c>
      <c r="C1" s="1" t="s">
        <v>2</v>
      </c>
      <c r="D1" s="1" t="s">
        <v>145</v>
      </c>
      <c r="E1" s="1"/>
      <c r="F1" s="1" t="s">
        <v>147</v>
      </c>
      <c r="G1" s="1" t="s">
        <v>4</v>
      </c>
      <c r="H1" s="1" t="s">
        <v>5</v>
      </c>
      <c r="I1" s="1" t="s">
        <v>6</v>
      </c>
      <c r="J1" s="1" t="s">
        <v>7</v>
      </c>
      <c r="K1" s="1" t="s">
        <v>8</v>
      </c>
      <c r="L1" s="1" t="s">
        <v>144</v>
      </c>
    </row>
    <row r="2" spans="1:12" x14ac:dyDescent="0.25">
      <c r="A2" s="3" t="s">
        <v>54</v>
      </c>
      <c r="B2" s="4"/>
      <c r="C2" s="4"/>
      <c r="D2" s="4"/>
      <c r="E2" s="4"/>
      <c r="F2" s="12" t="str">
        <f>IF(AND($J2="",$K2=""),"",SUMPRODUCT(--ISNUMBER(SEARCH(","&amp;Verpleegkundigen!$C$2:$C$100&amp;",",","&amp;LOWER(SUBSTITUTE(SUBSTITUTE($J2," ",""),CHAR(160),""))&amp;","))*(Verpleegkundigen!$C$2:$C$100&lt;&gt;LOWER(SUBSTITUTE(SUBSTITUTE($K2," ",""),CHAR(160),""))),Verpleegkundigen!$B$2:$B$100)+IF($K2&lt;&gt;"",1,0))</f>
        <v/>
      </c>
      <c r="G2" s="4"/>
      <c r="H2" s="4"/>
      <c r="I2" s="5"/>
      <c r="J2" s="4"/>
      <c r="K2" s="4"/>
      <c r="L2" s="4"/>
    </row>
    <row r="3" spans="1:12" x14ac:dyDescent="0.25">
      <c r="A3" s="6">
        <v>46055</v>
      </c>
      <c r="B3" s="7" t="s">
        <v>10</v>
      </c>
      <c r="C3" s="7">
        <v>28</v>
      </c>
      <c r="D3" s="7"/>
      <c r="E3" s="63">
        <f>IF(F3&gt;D3,1,IF(F3=D3,0,-1))</f>
        <v>0</v>
      </c>
      <c r="F3" s="90" t="str">
        <f>IF(AND($J3="",$K3=""),"",SUMPRODUCT(--ISNUMBER(SEARCH(","&amp;Verpleegkundigen!$C$2:$C$100&amp;",",","&amp;LOWER(SUBSTITUTE(SUBSTITUTE($J3," ",""),CHAR(160),""))&amp;","))*(Verpleegkundigen!$C$2:$C$100&lt;&gt;LOWER(SUBSTITUTE(SUBSTITUTE($K3," ",""),CHAR(160),""))),Verpleegkundigen!$B$2:$B$100)+IF($K3&lt;&gt;"",1,0))</f>
        <v/>
      </c>
      <c r="G3" s="7" t="str">
        <f>IF(AND(C3&lt;&gt;"",D3&lt;&gt;"",C3&gt;D3),"+" &amp; TEXT(C3-D3,"0"),"")</f>
        <v/>
      </c>
      <c r="H3" s="8"/>
      <c r="I3" s="7">
        <f>IF($J3="",5,LEN($J3)-LEN(SUBSTITUTE($J3,",",""))+1)</f>
        <v>5</v>
      </c>
      <c r="J3" s="7"/>
      <c r="K3" s="7"/>
      <c r="L3" s="7"/>
    </row>
    <row r="4" spans="1:12" x14ac:dyDescent="0.25">
      <c r="A4" s="9">
        <v>46056</v>
      </c>
      <c r="B4" s="10" t="s">
        <v>12</v>
      </c>
      <c r="C4" s="10">
        <v>21</v>
      </c>
      <c r="D4" s="10" t="str">
        <f>IF(AND($J4="",$K4=""),"",SUMPRODUCT(--ISNUMBER(SEARCH(","&amp;Verpleegkundigen!$C$2:$C$100&amp;",",","&amp;LOWER(SUBSTITUTE(SUBSTITUTE($J4," ",""),CHAR(160),""))&amp;","))*(Verpleegkundigen!$C$2:$C$100&lt;&gt;LOWER(SUBSTITUTE(SUBSTITUTE($K4," ",""),CHAR(160),""))),Verpleegkundigen!$B$2:$B$100)+IF($K4&lt;&gt;"",1,0))</f>
        <v/>
      </c>
      <c r="E4" s="69">
        <f>IF(F4&gt;D4,1,IF(F4=D4,0,-1))</f>
        <v>0</v>
      </c>
      <c r="F4" s="91" t="str">
        <f>IF(AND($J4="",$K4=""),"",SUMPRODUCT(--ISNUMBER(SEARCH(","&amp;Verpleegkundigen!$C$2:$C$100&amp;",",","&amp;LOWER(SUBSTITUTE(SUBSTITUTE($J4," ",""),CHAR(160),""))&amp;","))*(Verpleegkundigen!$C$2:$C$100&lt;&gt;LOWER(SUBSTITUTE(SUBSTITUTE($K4," ",""),CHAR(160),""))),Verpleegkundigen!$B$2:$B$100)+IF($K4&lt;&gt;"",1,0))</f>
        <v/>
      </c>
      <c r="G4" s="10" t="str">
        <f>IF(AND(C4&lt;&gt;"",D4&lt;&gt;"",C4&gt;D4),"+" &amp; TEXT(C4-D4,"0"),"")</f>
        <v/>
      </c>
      <c r="H4" s="4"/>
      <c r="I4" s="7">
        <f>IF($J4="",5,LEN($J4)-LEN(SUBSTITUTE($J4,",",""))+1)</f>
        <v>5</v>
      </c>
      <c r="J4" s="7"/>
      <c r="K4" s="10"/>
      <c r="L4" s="10"/>
    </row>
    <row r="5" spans="1:12" x14ac:dyDescent="0.25">
      <c r="A5" s="6">
        <v>46057</v>
      </c>
      <c r="B5" s="7" t="s">
        <v>14</v>
      </c>
      <c r="C5" s="7">
        <v>24</v>
      </c>
      <c r="D5" s="7" t="str">
        <f>IF(AND($J5="",$K5=""),"",SUMPRODUCT(--ISNUMBER(SEARCH(","&amp;Verpleegkundigen!$C$2:$C$100&amp;",",","&amp;LOWER(SUBSTITUTE(SUBSTITUTE($J5," ",""),CHAR(160),""))&amp;","))*(Verpleegkundigen!$C$2:$C$100&lt;&gt;LOWER(SUBSTITUTE(SUBSTITUTE($K5," ",""),CHAR(160),""))),Verpleegkundigen!$B$2:$B$100)+IF($K5&lt;&gt;"",1,0))</f>
        <v/>
      </c>
      <c r="E5" s="63">
        <f>IF(F5&gt;D5,1,IF(F5=D5,0,-1))</f>
        <v>0</v>
      </c>
      <c r="F5" s="90" t="str">
        <f>IF(AND($J5="",$K5=""),"",SUMPRODUCT(--ISNUMBER(SEARCH(","&amp;Verpleegkundigen!$C$2:$C$100&amp;",",","&amp;LOWER(SUBSTITUTE(SUBSTITUTE($J5," ",""),CHAR(160),""))&amp;","))*(Verpleegkundigen!$C$2:$C$100&lt;&gt;LOWER(SUBSTITUTE(SUBSTITUTE($K5," ",""),CHAR(160),""))),Verpleegkundigen!$B$2:$B$100)+IF($K5&lt;&gt;"",1,0))</f>
        <v/>
      </c>
      <c r="G5" s="7" t="str">
        <f>IF(AND(C5&lt;&gt;"",D5&lt;&gt;"",C5&gt;D5),"+" &amp; TEXT(C5-D5,"0"),"")</f>
        <v/>
      </c>
      <c r="H5" s="8"/>
      <c r="I5" s="7">
        <f>IF($J5="",5,LEN($J5)-LEN(SUBSTITUTE($J5,",",""))+1)</f>
        <v>5</v>
      </c>
      <c r="J5" s="7"/>
      <c r="K5" s="7"/>
      <c r="L5" s="7"/>
    </row>
    <row r="6" spans="1:12" x14ac:dyDescent="0.25">
      <c r="A6" s="9">
        <v>46058</v>
      </c>
      <c r="B6" s="10" t="s">
        <v>16</v>
      </c>
      <c r="C6" s="10">
        <v>18</v>
      </c>
      <c r="D6" s="10" t="str">
        <f>IF(AND($J6="",$K6=""),"",SUMPRODUCT(--ISNUMBER(SEARCH(","&amp;Verpleegkundigen!$C$2:$C$100&amp;",",","&amp;LOWER(SUBSTITUTE(SUBSTITUTE($J6," ",""),CHAR(160),""))&amp;","))*(Verpleegkundigen!$C$2:$C$100&lt;&gt;LOWER(SUBSTITUTE(SUBSTITUTE($K6," ",""),CHAR(160),""))),Verpleegkundigen!$B$2:$B$100)+IF($K6&lt;&gt;"",1,0))</f>
        <v/>
      </c>
      <c r="E6" s="69">
        <f>IF(F6&gt;D6,1,IF(F6=D6,0,-1))</f>
        <v>0</v>
      </c>
      <c r="F6" s="91" t="str">
        <f>IF(AND($J6="",$K6=""),"",SUMPRODUCT(--ISNUMBER(SEARCH(","&amp;Verpleegkundigen!$C$2:$C$100&amp;",",","&amp;LOWER(SUBSTITUTE(SUBSTITUTE($J6," ",""),CHAR(160),""))&amp;","))*(Verpleegkundigen!$C$2:$C$100&lt;&gt;LOWER(SUBSTITUTE(SUBSTITUTE($K6," ",""),CHAR(160),""))),Verpleegkundigen!$B$2:$B$100)+IF($K6&lt;&gt;"",1,0))</f>
        <v/>
      </c>
      <c r="G6" s="10" t="str">
        <f>IF(AND(C6&lt;&gt;"",D6&lt;&gt;"",C6&gt;D6),"+" &amp; TEXT(C6-D6,"0"),"")</f>
        <v/>
      </c>
      <c r="H6" s="4"/>
      <c r="I6" s="7">
        <f>IF($J6="",5,LEN($J6)-LEN(SUBSTITUTE($J6,",",""))+1)</f>
        <v>5</v>
      </c>
      <c r="J6" s="10"/>
      <c r="K6" s="10"/>
      <c r="L6" s="10"/>
    </row>
    <row r="7" spans="1:12" x14ac:dyDescent="0.25">
      <c r="A7" s="6">
        <v>46059</v>
      </c>
      <c r="B7" s="7" t="s">
        <v>18</v>
      </c>
      <c r="C7" s="7">
        <v>22</v>
      </c>
      <c r="D7" s="7" t="str">
        <f>IF(AND($J7="",$K7=""),"",SUMPRODUCT(--ISNUMBER(SEARCH(","&amp;Verpleegkundigen!$C$2:$C$100&amp;",",","&amp;LOWER(SUBSTITUTE(SUBSTITUTE($J7," ",""),CHAR(160),""))&amp;","))*(Verpleegkundigen!$C$2:$C$100&lt;&gt;LOWER(SUBSTITUTE(SUBSTITUTE($K7," ",""),CHAR(160),""))),Verpleegkundigen!$B$2:$B$100)+IF($K7&lt;&gt;"",1,0))</f>
        <v/>
      </c>
      <c r="E7" s="63">
        <f>IF(F7&gt;D7,1,IF(F7=D7,0,-1))</f>
        <v>0</v>
      </c>
      <c r="F7" s="90" t="str">
        <f>IF(AND($J7="",$K7=""),"",SUMPRODUCT(--ISNUMBER(SEARCH(","&amp;Verpleegkundigen!$C$2:$C$100&amp;",",","&amp;LOWER(SUBSTITUTE(SUBSTITUTE($J7," ",""),CHAR(160),""))&amp;","))*(Verpleegkundigen!$C$2:$C$100&lt;&gt;LOWER(SUBSTITUTE(SUBSTITUTE($K7," ",""),CHAR(160),""))),Verpleegkundigen!$B$2:$B$100)+IF($K7&lt;&gt;"",1,0))</f>
        <v/>
      </c>
      <c r="G7" s="7" t="str">
        <f>IF(AND(C7&lt;&gt;"",D7&lt;&gt;"",C7&gt;D7),"+" &amp; TEXT(C7-D7,"0"),"")</f>
        <v/>
      </c>
      <c r="H7" s="8"/>
      <c r="I7" s="7">
        <f>IF($J7="",5,LEN($J7)-LEN(SUBSTITUTE($J7,",",""))+1)</f>
        <v>5</v>
      </c>
      <c r="J7" s="7"/>
      <c r="K7" s="7"/>
      <c r="L7" s="7"/>
    </row>
    <row r="8" spans="1:12" x14ac:dyDescent="0.25">
      <c r="A8" s="3" t="s">
        <v>55</v>
      </c>
      <c r="B8" s="4"/>
      <c r="C8" s="4"/>
      <c r="D8" s="4"/>
      <c r="E8" s="69"/>
      <c r="F8" s="91" t="str">
        <f>IF(AND($J8="",$K8=""),"",SUMPRODUCT(--ISNUMBER(SEARCH(","&amp;Verpleegkundigen!$C$2:$C$100&amp;",",","&amp;LOWER(SUBSTITUTE(SUBSTITUTE($J8," ",""),CHAR(160),""))&amp;","))*(Verpleegkundigen!$C$2:$C$100&lt;&gt;LOWER(SUBSTITUTE(SUBSTITUTE($K8," ",""),CHAR(160),""))),Verpleegkundigen!$B$2:$B$100)+IF($K8&lt;&gt;"",1,0))</f>
        <v/>
      </c>
      <c r="G8" s="4"/>
      <c r="H8" s="4"/>
      <c r="I8" s="5"/>
      <c r="J8" s="4"/>
      <c r="K8" s="4"/>
      <c r="L8" s="4"/>
    </row>
    <row r="9" spans="1:12" x14ac:dyDescent="0.25">
      <c r="A9" s="6">
        <v>46062</v>
      </c>
      <c r="B9" s="7" t="s">
        <v>10</v>
      </c>
      <c r="C9" s="7">
        <v>15</v>
      </c>
      <c r="D9" s="7" t="str">
        <f>IF(AND($J9="",$K9=""),"",SUMPRODUCT(--ISNUMBER(SEARCH(","&amp;Verpleegkundigen!$C$2:$C$100&amp;",",","&amp;LOWER(SUBSTITUTE(SUBSTITUTE($J9," ",""),CHAR(160),""))&amp;","))*(Verpleegkundigen!$C$2:$C$100&lt;&gt;LOWER(SUBSTITUTE(SUBSTITUTE($K9," ",""),CHAR(160),""))),Verpleegkundigen!$B$2:$B$100)+IF($K9&lt;&gt;"",1,0))</f>
        <v/>
      </c>
      <c r="E9" s="67">
        <f>IF(F9&gt;D9,1,IF(F9=D9,0,-1))</f>
        <v>0</v>
      </c>
      <c r="F9" s="90" t="str">
        <f>IF(AND($J9="",$K9=""),"",SUMPRODUCT(--ISNUMBER(SEARCH(","&amp;Verpleegkundigen!$C$2:$C$100&amp;",",","&amp;LOWER(SUBSTITUTE(SUBSTITUTE($J9," ",""),CHAR(160),""))&amp;","))*(Verpleegkundigen!$C$2:$C$100&lt;&gt;LOWER(SUBSTITUTE(SUBSTITUTE($K9," ",""),CHAR(160),""))),Verpleegkundigen!$B$2:$B$100)+IF($K9&lt;&gt;"",1,0))</f>
        <v/>
      </c>
      <c r="G9" s="7" t="str">
        <f>IF(AND(C9&lt;&gt;"",D9&lt;&gt;"",C9&gt;D9),"+" &amp; TEXT(C9-D9,"0"),"")</f>
        <v/>
      </c>
      <c r="H9" s="8"/>
      <c r="I9" s="7">
        <f>IF($J9="",5,LEN($J9)-LEN(SUBSTITUTE($J9,",",""))+1)</f>
        <v>5</v>
      </c>
      <c r="J9" s="7"/>
      <c r="K9" s="7"/>
      <c r="L9" s="7"/>
    </row>
    <row r="10" spans="1:12" x14ac:dyDescent="0.25">
      <c r="A10" s="9">
        <v>46063</v>
      </c>
      <c r="B10" s="10" t="s">
        <v>12</v>
      </c>
      <c r="C10" s="10">
        <v>17</v>
      </c>
      <c r="D10" s="10" t="str">
        <f>IF(AND($J10="",$K10=""),"",SUMPRODUCT(--ISNUMBER(SEARCH(","&amp;Verpleegkundigen!$C$2:$C$100&amp;",",","&amp;LOWER(SUBSTITUTE(SUBSTITUTE($J10," ",""),CHAR(160),""))&amp;","))*(Verpleegkundigen!$C$2:$C$100&lt;&gt;LOWER(SUBSTITUTE(SUBSTITUTE($K10," ",""),CHAR(160),""))),Verpleegkundigen!$B$2:$B$100)+IF($K10&lt;&gt;"",1,0))</f>
        <v/>
      </c>
      <c r="E10" s="69">
        <f>IF(F10&gt;D10,1,IF(F10=D10,0,-1))</f>
        <v>0</v>
      </c>
      <c r="F10" s="91" t="str">
        <f>IF(AND($J10="",$K10=""),"",SUMPRODUCT(--ISNUMBER(SEARCH(","&amp;Verpleegkundigen!$C$2:$C$100&amp;",",","&amp;LOWER(SUBSTITUTE(SUBSTITUTE($J10," ",""),CHAR(160),""))&amp;","))*(Verpleegkundigen!$C$2:$C$100&lt;&gt;LOWER(SUBSTITUTE(SUBSTITUTE($K10," ",""),CHAR(160),""))),Verpleegkundigen!$B$2:$B$100)+IF($K10&lt;&gt;"",1,0))</f>
        <v/>
      </c>
      <c r="G10" s="10" t="str">
        <f>IF(AND(C10&lt;&gt;"",D10&lt;&gt;"",C10&gt;D10),"+" &amp; TEXT(C10-D10,"0"),"")</f>
        <v/>
      </c>
      <c r="H10" s="4"/>
      <c r="I10" s="7">
        <f>IF($J10="",5,LEN($J10)-LEN(SUBSTITUTE($J10,",",""))+1)</f>
        <v>5</v>
      </c>
      <c r="J10" s="10"/>
      <c r="K10" s="10"/>
      <c r="L10" s="10"/>
    </row>
    <row r="11" spans="1:12" x14ac:dyDescent="0.25">
      <c r="A11" s="6">
        <v>46064</v>
      </c>
      <c r="B11" s="7" t="s">
        <v>14</v>
      </c>
      <c r="C11" s="7">
        <v>15</v>
      </c>
      <c r="D11" s="7" t="str">
        <f>IF(AND($J11="",$K11=""),"",SUMPRODUCT(--ISNUMBER(SEARCH(","&amp;Verpleegkundigen!$C$2:$C$100&amp;",",","&amp;LOWER(SUBSTITUTE(SUBSTITUTE($J11," ",""),CHAR(160),""))&amp;","))*(Verpleegkundigen!$C$2:$C$100&lt;&gt;LOWER(SUBSTITUTE(SUBSTITUTE($K11," ",""),CHAR(160),""))),Verpleegkundigen!$B$2:$B$100)+IF($K11&lt;&gt;"",1,0))</f>
        <v/>
      </c>
      <c r="E11" s="63">
        <f>IF(F11&gt;D11,1,IF(F11=D11,0,-1))</f>
        <v>0</v>
      </c>
      <c r="F11" s="90" t="str">
        <f>IF(AND($J11="",$K11=""),"",SUMPRODUCT(--ISNUMBER(SEARCH(","&amp;Verpleegkundigen!$C$2:$C$100&amp;",",","&amp;LOWER(SUBSTITUTE(SUBSTITUTE($J11," ",""),CHAR(160),""))&amp;","))*(Verpleegkundigen!$C$2:$C$100&lt;&gt;LOWER(SUBSTITUTE(SUBSTITUTE($K11," ",""),CHAR(160),""))),Verpleegkundigen!$B$2:$B$100)+IF($K11&lt;&gt;"",1,0))</f>
        <v/>
      </c>
      <c r="G11" s="7" t="str">
        <f>IF(AND(C11&lt;&gt;"",D11&lt;&gt;"",C11&gt;D11),"+" &amp; TEXT(C11-D11,"0"),"")</f>
        <v/>
      </c>
      <c r="H11" s="8"/>
      <c r="I11" s="7">
        <f>IF($J11="",5,LEN($J11)-LEN(SUBSTITUTE($J11,",",""))+1)</f>
        <v>5</v>
      </c>
      <c r="J11" s="7"/>
      <c r="K11" s="7"/>
      <c r="L11" s="7"/>
    </row>
    <row r="12" spans="1:12" x14ac:dyDescent="0.25">
      <c r="A12" s="9">
        <v>46065</v>
      </c>
      <c r="B12" s="10" t="s">
        <v>16</v>
      </c>
      <c r="C12" s="10">
        <v>18</v>
      </c>
      <c r="D12" s="10" t="str">
        <f>IF(AND($J12="",$K12=""),"",SUMPRODUCT(--ISNUMBER(SEARCH(","&amp;Verpleegkundigen!$C$2:$C$100&amp;",",","&amp;LOWER(SUBSTITUTE(SUBSTITUTE($J12," ",""),CHAR(160),""))&amp;","))*(Verpleegkundigen!$C$2:$C$100&lt;&gt;LOWER(SUBSTITUTE(SUBSTITUTE($K12," ",""),CHAR(160),""))),Verpleegkundigen!$B$2:$B$100)+IF($K12&lt;&gt;"",1,0))</f>
        <v/>
      </c>
      <c r="E12" s="69">
        <f>IF(F12&gt;D12,1,IF(F12=D12,0,-1))</f>
        <v>0</v>
      </c>
      <c r="F12" s="91" t="str">
        <f>IF(AND($J12="",$K12=""),"",SUMPRODUCT(--ISNUMBER(SEARCH(","&amp;Verpleegkundigen!$C$2:$C$100&amp;",",","&amp;LOWER(SUBSTITUTE(SUBSTITUTE($J12," ",""),CHAR(160),""))&amp;","))*(Verpleegkundigen!$C$2:$C$100&lt;&gt;LOWER(SUBSTITUTE(SUBSTITUTE($K12," ",""),CHAR(160),""))),Verpleegkundigen!$B$2:$B$100)+IF($K12&lt;&gt;"",1,0))</f>
        <v/>
      </c>
      <c r="G12" s="10" t="str">
        <f>IF(AND(C12&lt;&gt;"",D12&lt;&gt;"",C12&gt;D12),"+" &amp; TEXT(C12-D12,"0"),"")</f>
        <v/>
      </c>
      <c r="H12" s="4"/>
      <c r="I12" s="7">
        <f>IF($J12="",5,LEN($J12)-LEN(SUBSTITUTE($J12,",",""))+1)</f>
        <v>5</v>
      </c>
      <c r="J12" s="10"/>
      <c r="K12" s="10"/>
      <c r="L12" s="10"/>
    </row>
    <row r="13" spans="1:12" x14ac:dyDescent="0.25">
      <c r="A13" s="6">
        <v>46066</v>
      </c>
      <c r="B13" s="7" t="s">
        <v>18</v>
      </c>
      <c r="C13" s="7">
        <v>19</v>
      </c>
      <c r="D13" s="7" t="str">
        <f>IF(AND($J13="",$K13=""),"",SUMPRODUCT(--ISNUMBER(SEARCH(","&amp;Verpleegkundigen!$C$2:$C$100&amp;",",","&amp;LOWER(SUBSTITUTE(SUBSTITUTE($J13," ",""),CHAR(160),""))&amp;","))*(Verpleegkundigen!$C$2:$C$100&lt;&gt;LOWER(SUBSTITUTE(SUBSTITUTE($K13," ",""),CHAR(160),""))),Verpleegkundigen!$B$2:$B$100)+IF($K13&lt;&gt;"",1,0))</f>
        <v/>
      </c>
      <c r="E13" s="63">
        <f>IF(F13&gt;D13,1,IF(F13=D13,0,-1))</f>
        <v>0</v>
      </c>
      <c r="F13" s="90" t="str">
        <f>IF(AND($J13="",$K13=""),"",SUMPRODUCT(--ISNUMBER(SEARCH(","&amp;Verpleegkundigen!$C$2:$C$100&amp;",",","&amp;LOWER(SUBSTITUTE(SUBSTITUTE($J13," ",""),CHAR(160),""))&amp;","))*(Verpleegkundigen!$C$2:$C$100&lt;&gt;LOWER(SUBSTITUTE(SUBSTITUTE($K13," ",""),CHAR(160),""))),Verpleegkundigen!$B$2:$B$100)+IF($K13&lt;&gt;"",1,0))</f>
        <v/>
      </c>
      <c r="G13" s="7" t="str">
        <f>IF(AND(C13&lt;&gt;"",D13&lt;&gt;"",C13&gt;D13),"+" &amp; TEXT(C13-D13,"0"),"")</f>
        <v/>
      </c>
      <c r="H13" s="8"/>
      <c r="I13" s="7">
        <f>IF($J13="",5,LEN($J13)-LEN(SUBSTITUTE($J13,",",""))+1)</f>
        <v>5</v>
      </c>
      <c r="J13" s="7"/>
      <c r="K13" s="7"/>
      <c r="L13" s="7"/>
    </row>
    <row r="14" spans="1:12" x14ac:dyDescent="0.25">
      <c r="A14" s="3" t="s">
        <v>56</v>
      </c>
      <c r="B14" s="4"/>
      <c r="C14" s="4"/>
      <c r="D14" s="4"/>
      <c r="E14" s="64"/>
      <c r="F14" s="91" t="str">
        <f>IF(AND($J14="",$K14=""),"",SUMPRODUCT(--ISNUMBER(SEARCH(","&amp;Verpleegkundigen!$C$2:$C$100&amp;",",","&amp;LOWER(SUBSTITUTE(SUBSTITUTE($J14," ",""),CHAR(160),""))&amp;","))*(Verpleegkundigen!$C$2:$C$100&lt;&gt;LOWER(SUBSTITUTE(SUBSTITUTE($K14," ",""),CHAR(160),""))),Verpleegkundigen!$B$2:$B$100)+IF($K14&lt;&gt;"",1,0))</f>
        <v/>
      </c>
      <c r="G14" s="4"/>
      <c r="H14" s="4"/>
      <c r="I14" s="5"/>
      <c r="J14" s="4"/>
      <c r="K14" s="4"/>
      <c r="L14" s="4"/>
    </row>
    <row r="15" spans="1:12" x14ac:dyDescent="0.25">
      <c r="A15" s="6">
        <v>46069</v>
      </c>
      <c r="B15" s="7" t="s">
        <v>10</v>
      </c>
      <c r="C15" s="7">
        <v>19</v>
      </c>
      <c r="D15" s="7" t="str">
        <f>IF(AND($J15="",$K15=""),"",SUMPRODUCT(--ISNUMBER(SEARCH(","&amp;Verpleegkundigen!$C$2:$C$100&amp;",",","&amp;LOWER(SUBSTITUTE(SUBSTITUTE($J15," ",""),CHAR(160),""))&amp;","))*(Verpleegkundigen!$C$2:$C$100&lt;&gt;LOWER(SUBSTITUTE(SUBSTITUTE($K15," ",""),CHAR(160),""))),Verpleegkundigen!$B$2:$B$100)+IF($K15&lt;&gt;"",1,0))</f>
        <v/>
      </c>
      <c r="E15" s="67">
        <f>IF(F15&gt;D15,1,IF(F15=D15,0,-1))</f>
        <v>0</v>
      </c>
      <c r="F15" s="90" t="str">
        <f>IF(AND($J15="",$K15=""),"",SUMPRODUCT(--ISNUMBER(SEARCH(","&amp;Verpleegkundigen!$C$2:$C$100&amp;",",","&amp;LOWER(SUBSTITUTE(SUBSTITUTE($J15," ",""),CHAR(160),""))&amp;","))*(Verpleegkundigen!$C$2:$C$100&lt;&gt;LOWER(SUBSTITUTE(SUBSTITUTE($K15," ",""),CHAR(160),""))),Verpleegkundigen!$B$2:$B$100)+IF($K15&lt;&gt;"",1,0))</f>
        <v/>
      </c>
      <c r="G15" s="7" t="str">
        <f>IF(AND(C15&lt;&gt;"",D15&lt;&gt;"",C15&gt;D15),"+" &amp; TEXT(C15-D15,"0"),"")</f>
        <v/>
      </c>
      <c r="H15" s="8"/>
      <c r="I15" s="7">
        <f>IF($J15="",5,LEN($J15)-LEN(SUBSTITUTE($J15,",",""))+1)</f>
        <v>5</v>
      </c>
      <c r="J15" s="7"/>
      <c r="K15" s="7"/>
      <c r="L15" s="7"/>
    </row>
    <row r="16" spans="1:12" x14ac:dyDescent="0.25">
      <c r="A16" s="9">
        <v>46070</v>
      </c>
      <c r="B16" s="10" t="s">
        <v>12</v>
      </c>
      <c r="C16" s="10">
        <v>17</v>
      </c>
      <c r="D16" s="10" t="str">
        <f>IF(AND($J16="",$K16=""),"",SUMPRODUCT(--ISNUMBER(SEARCH(","&amp;Verpleegkundigen!$C$2:$C$100&amp;",",","&amp;LOWER(SUBSTITUTE(SUBSTITUTE($J16," ",""),CHAR(160),""))&amp;","))*(Verpleegkundigen!$C$2:$C$100&lt;&gt;LOWER(SUBSTITUTE(SUBSTITUTE($K16," ",""),CHAR(160),""))),Verpleegkundigen!$B$2:$B$100)+IF($K16&lt;&gt;"",1,0))</f>
        <v/>
      </c>
      <c r="E16" s="69">
        <f>IF(F16&gt;D16,1,IF(F16=D16,0,-1))</f>
        <v>0</v>
      </c>
      <c r="F16" s="91" t="str">
        <f>IF(AND($J16="",$K16=""),"",SUMPRODUCT(--ISNUMBER(SEARCH(","&amp;Verpleegkundigen!$C$2:$C$100&amp;",",","&amp;LOWER(SUBSTITUTE(SUBSTITUTE($J16," ",""),CHAR(160),""))&amp;","))*(Verpleegkundigen!$C$2:$C$100&lt;&gt;LOWER(SUBSTITUTE(SUBSTITUTE($K16," ",""),CHAR(160),""))),Verpleegkundigen!$B$2:$B$100)+IF($K16&lt;&gt;"",1,0))</f>
        <v/>
      </c>
      <c r="G16" s="10" t="str">
        <f>IF(AND(C16&lt;&gt;"",D16&lt;&gt;"",C16&gt;D16),"+" &amp; TEXT(C16-D16,"0"),"")</f>
        <v/>
      </c>
      <c r="H16" s="4"/>
      <c r="I16" s="7">
        <f>IF($J16="",5,LEN($J16)-LEN(SUBSTITUTE($J16,",",""))+1)</f>
        <v>5</v>
      </c>
      <c r="J16" s="10"/>
      <c r="K16" s="10"/>
      <c r="L16" s="10"/>
    </row>
    <row r="17" spans="1:12" x14ac:dyDescent="0.25">
      <c r="A17" s="6">
        <v>46071</v>
      </c>
      <c r="B17" s="7" t="s">
        <v>14</v>
      </c>
      <c r="C17" s="7">
        <v>21</v>
      </c>
      <c r="D17" s="7" t="str">
        <f>IF(AND($J17="",$K17=""),"",SUMPRODUCT(--ISNUMBER(SEARCH(","&amp;Verpleegkundigen!$C$2:$C$100&amp;",",","&amp;LOWER(SUBSTITUTE(SUBSTITUTE($J17," ",""),CHAR(160),""))&amp;","))*(Verpleegkundigen!$C$2:$C$100&lt;&gt;LOWER(SUBSTITUTE(SUBSTITUTE($K17," ",""),CHAR(160),""))),Verpleegkundigen!$B$2:$B$100)+IF($K17&lt;&gt;"",1,0))</f>
        <v/>
      </c>
      <c r="E17" s="63">
        <f>IF(F17&gt;D17,1,IF(F17=D17,0,-1))</f>
        <v>0</v>
      </c>
      <c r="F17" s="90" t="str">
        <f>IF(AND($J17="",$K17=""),"",SUMPRODUCT(--ISNUMBER(SEARCH(","&amp;Verpleegkundigen!$C$2:$C$100&amp;",",","&amp;LOWER(SUBSTITUTE(SUBSTITUTE($J17," ",""),CHAR(160),""))&amp;","))*(Verpleegkundigen!$C$2:$C$100&lt;&gt;LOWER(SUBSTITUTE(SUBSTITUTE($K17," ",""),CHAR(160),""))),Verpleegkundigen!$B$2:$B$100)+IF($K17&lt;&gt;"",1,0))</f>
        <v/>
      </c>
      <c r="G17" s="7" t="str">
        <f>IF(AND(C17&lt;&gt;"",D17&lt;&gt;"",C17&gt;D17),"+" &amp; TEXT(C17-D17,"0"),"")</f>
        <v/>
      </c>
      <c r="H17" s="8"/>
      <c r="I17" s="7">
        <f>IF($J17="",5,LEN($J17)-LEN(SUBSTITUTE($J17,",",""))+1)</f>
        <v>5</v>
      </c>
      <c r="J17" s="7"/>
      <c r="K17" s="7"/>
      <c r="L17" s="7"/>
    </row>
    <row r="18" spans="1:12" x14ac:dyDescent="0.25">
      <c r="A18" s="9">
        <v>46072</v>
      </c>
      <c r="B18" s="10" t="s">
        <v>16</v>
      </c>
      <c r="C18" s="10">
        <v>23</v>
      </c>
      <c r="D18" s="10" t="str">
        <f>IF(AND($J18="",$K18=""),"",SUMPRODUCT(--ISNUMBER(SEARCH(","&amp;Verpleegkundigen!$C$2:$C$100&amp;",",","&amp;LOWER(SUBSTITUTE(SUBSTITUTE($J18," ",""),CHAR(160),""))&amp;","))*(Verpleegkundigen!$C$2:$C$100&lt;&gt;LOWER(SUBSTITUTE(SUBSTITUTE($K18," ",""),CHAR(160),""))),Verpleegkundigen!$B$2:$B$100)+IF($K18&lt;&gt;"",1,0))</f>
        <v/>
      </c>
      <c r="E18" s="69">
        <f>IF(F18&gt;D18,1,IF(F18=D18,0,-1))</f>
        <v>0</v>
      </c>
      <c r="F18" s="91" t="str">
        <f>IF(AND($J18="",$K18=""),"",SUMPRODUCT(--ISNUMBER(SEARCH(","&amp;Verpleegkundigen!$C$2:$C$100&amp;",",","&amp;LOWER(SUBSTITUTE(SUBSTITUTE($J18," ",""),CHAR(160),""))&amp;","))*(Verpleegkundigen!$C$2:$C$100&lt;&gt;LOWER(SUBSTITUTE(SUBSTITUTE($K18," ",""),CHAR(160),""))),Verpleegkundigen!$B$2:$B$100)+IF($K18&lt;&gt;"",1,0))</f>
        <v/>
      </c>
      <c r="G18" s="10" t="str">
        <f>IF(AND(C18&lt;&gt;"",D18&lt;&gt;"",C18&gt;D18),"+" &amp; TEXT(C18-D18,"0"),"")</f>
        <v/>
      </c>
      <c r="H18" s="4"/>
      <c r="I18" s="7">
        <f>IF($J18="",5,LEN($J18)-LEN(SUBSTITUTE($J18,",",""))+1)</f>
        <v>5</v>
      </c>
      <c r="J18" s="10"/>
      <c r="K18" s="10"/>
      <c r="L18" s="10"/>
    </row>
    <row r="19" spans="1:12" x14ac:dyDescent="0.25">
      <c r="A19" s="6">
        <v>46073</v>
      </c>
      <c r="B19" s="7" t="s">
        <v>18</v>
      </c>
      <c r="C19" s="7">
        <v>16</v>
      </c>
      <c r="D19" s="7" t="str">
        <f>IF(AND($J19="",$K19=""),"",SUMPRODUCT(--ISNUMBER(SEARCH(","&amp;Verpleegkundigen!$C$2:$C$100&amp;",",","&amp;LOWER(SUBSTITUTE(SUBSTITUTE($J19," ",""),CHAR(160),""))&amp;","))*(Verpleegkundigen!$C$2:$C$100&lt;&gt;LOWER(SUBSTITUTE(SUBSTITUTE($K19," ",""),CHAR(160),""))),Verpleegkundigen!$B$2:$B$100)+IF($K19&lt;&gt;"",1,0))</f>
        <v/>
      </c>
      <c r="E19" s="67">
        <f>IF(F19&gt;D19,1,IF(F19=D19,0,-1))</f>
        <v>0</v>
      </c>
      <c r="F19" s="90" t="str">
        <f>IF(AND($J19="",$K19=""),"",SUMPRODUCT(--ISNUMBER(SEARCH(","&amp;Verpleegkundigen!$C$2:$C$100&amp;",",","&amp;LOWER(SUBSTITUTE(SUBSTITUTE($J19," ",""),CHAR(160),""))&amp;","))*(Verpleegkundigen!$C$2:$C$100&lt;&gt;LOWER(SUBSTITUTE(SUBSTITUTE($K19," ",""),CHAR(160),""))),Verpleegkundigen!$B$2:$B$100)+IF($K19&lt;&gt;"",1,0))</f>
        <v/>
      </c>
      <c r="G19" s="7" t="str">
        <f>IF(AND(C19&lt;&gt;"",D19&lt;&gt;"",C19&gt;D19),"+" &amp; TEXT(C19-D19,"0"),"")</f>
        <v/>
      </c>
      <c r="H19" s="8"/>
      <c r="I19" s="7">
        <f>IF($J19="",5,LEN($J19)-LEN(SUBSTITUTE($J19,",",""))+1)</f>
        <v>5</v>
      </c>
      <c r="J19" s="7"/>
      <c r="K19" s="7"/>
      <c r="L19" s="7"/>
    </row>
    <row r="20" spans="1:12" x14ac:dyDescent="0.25">
      <c r="A20" s="3" t="s">
        <v>57</v>
      </c>
      <c r="B20" s="4"/>
      <c r="C20" s="4"/>
      <c r="D20" s="4"/>
      <c r="E20" s="64"/>
      <c r="F20" s="91" t="str">
        <f>IF(AND($J20="",$K20=""),"",SUMPRODUCT(--ISNUMBER(SEARCH(","&amp;Verpleegkundigen!$C$2:$C$100&amp;",",","&amp;LOWER(SUBSTITUTE(SUBSTITUTE($J20," ",""),CHAR(160),""))&amp;","))*(Verpleegkundigen!$C$2:$C$100&lt;&gt;LOWER(SUBSTITUTE(SUBSTITUTE($K20," ",""),CHAR(160),""))),Verpleegkundigen!$B$2:$B$100)+IF($K20&lt;&gt;"",1,0))</f>
        <v/>
      </c>
      <c r="G20" s="4"/>
      <c r="H20" s="4"/>
      <c r="I20" s="5"/>
      <c r="J20" s="4"/>
      <c r="K20" s="4"/>
      <c r="L20" s="4"/>
    </row>
    <row r="21" spans="1:12" x14ac:dyDescent="0.25">
      <c r="A21" s="6">
        <v>46076</v>
      </c>
      <c r="B21" s="7" t="s">
        <v>10</v>
      </c>
      <c r="C21" s="7">
        <v>15</v>
      </c>
      <c r="D21" s="7" t="str">
        <f>IF(AND($J21="",$K21=""),"",SUMPRODUCT(--ISNUMBER(SEARCH(","&amp;Verpleegkundigen!$C$2:$C$100&amp;",",","&amp;LOWER(SUBSTITUTE(SUBSTITUTE($J21," ",""),CHAR(160),""))&amp;","))*(Verpleegkundigen!$C$2:$C$100&lt;&gt;LOWER(SUBSTITUTE(SUBSTITUTE($K21," ",""),CHAR(160),""))),Verpleegkundigen!$B$2:$B$100)+IF($K21&lt;&gt;"",1,0))</f>
        <v/>
      </c>
      <c r="E21" s="63">
        <f>IF(F21&gt;D21,1,IF(F21=D21,0,-1))</f>
        <v>0</v>
      </c>
      <c r="F21" s="90" t="str">
        <f>IF(AND($J21="",$K21=""),"",SUMPRODUCT(--ISNUMBER(SEARCH(","&amp;Verpleegkundigen!$C$2:$C$100&amp;",",","&amp;LOWER(SUBSTITUTE(SUBSTITUTE($J21," ",""),CHAR(160),""))&amp;","))*(Verpleegkundigen!$C$2:$C$100&lt;&gt;LOWER(SUBSTITUTE(SUBSTITUTE($K21," ",""),CHAR(160),""))),Verpleegkundigen!$B$2:$B$100)+IF($K21&lt;&gt;"",1,0))</f>
        <v/>
      </c>
      <c r="G21" s="7" t="str">
        <f>IF(AND(C21&lt;&gt;"",D21&lt;&gt;"",C21&gt;D21),"+" &amp; TEXT(C21-D21,"0"),"")</f>
        <v/>
      </c>
      <c r="H21" s="8"/>
      <c r="I21" s="7">
        <f>IF($J21="",5,LEN($J21)-LEN(SUBSTITUTE($J21,",",""))+1)</f>
        <v>5</v>
      </c>
      <c r="J21" s="7"/>
      <c r="K21" s="7"/>
      <c r="L21" s="7"/>
    </row>
    <row r="22" spans="1:12" x14ac:dyDescent="0.25">
      <c r="A22" s="9">
        <v>46077</v>
      </c>
      <c r="B22" s="10" t="s">
        <v>12</v>
      </c>
      <c r="C22" s="10">
        <v>14</v>
      </c>
      <c r="D22" s="10" t="str">
        <f>IF(AND($J22="",$K22=""),"",SUMPRODUCT(--ISNUMBER(SEARCH(","&amp;Verpleegkundigen!$C$2:$C$100&amp;",",","&amp;LOWER(SUBSTITUTE(SUBSTITUTE($J22," ",""),CHAR(160),""))&amp;","))*(Verpleegkundigen!$C$2:$C$100&lt;&gt;LOWER(SUBSTITUTE(SUBSTITUTE($K22," ",""),CHAR(160),""))),Verpleegkundigen!$B$2:$B$100)+IF($K22&lt;&gt;"",1,0))</f>
        <v/>
      </c>
      <c r="E22" s="69">
        <f>IF(F22&gt;D22,1,IF(F22=D22,0,-1))</f>
        <v>0</v>
      </c>
      <c r="F22" s="91" t="str">
        <f>IF(AND($J22="",$K22=""),"",SUMPRODUCT(--ISNUMBER(SEARCH(","&amp;Verpleegkundigen!$C$2:$C$100&amp;",",","&amp;LOWER(SUBSTITUTE(SUBSTITUTE($J22," ",""),CHAR(160),""))&amp;","))*(Verpleegkundigen!$C$2:$C$100&lt;&gt;LOWER(SUBSTITUTE(SUBSTITUTE($K22," ",""),CHAR(160),""))),Verpleegkundigen!$B$2:$B$100)+IF($K22&lt;&gt;"",1,0))</f>
        <v/>
      </c>
      <c r="G22" s="10" t="str">
        <f>IF(AND(C22&lt;&gt;"",D22&lt;&gt;"",C22&gt;D22),"+" &amp; TEXT(C22-D22,"0"),"")</f>
        <v/>
      </c>
      <c r="H22" s="4"/>
      <c r="I22" s="7">
        <f>IF($J22="",5,LEN($J22)-LEN(SUBSTITUTE($J22,",",""))+1)</f>
        <v>5</v>
      </c>
      <c r="J22" s="10"/>
      <c r="K22" s="10"/>
      <c r="L22" s="10"/>
    </row>
    <row r="23" spans="1:12" x14ac:dyDescent="0.25">
      <c r="A23" s="6">
        <v>46078</v>
      </c>
      <c r="B23" s="7" t="s">
        <v>14</v>
      </c>
      <c r="C23" s="7">
        <v>11</v>
      </c>
      <c r="D23" s="7" t="str">
        <f>IF(AND($J23="",$K23=""),"",SUMPRODUCT(--ISNUMBER(SEARCH(","&amp;Verpleegkundigen!$C$2:$C$100&amp;",",","&amp;LOWER(SUBSTITUTE(SUBSTITUTE($J23," ",""),CHAR(160),""))&amp;","))*(Verpleegkundigen!$C$2:$C$100&lt;&gt;LOWER(SUBSTITUTE(SUBSTITUTE($K23," ",""),CHAR(160),""))),Verpleegkundigen!$B$2:$B$100)+IF($K23&lt;&gt;"",1,0))</f>
        <v/>
      </c>
      <c r="E23" s="63">
        <f>IF(F23&gt;D23,1,IF(F23=D23,0,-1))</f>
        <v>0</v>
      </c>
      <c r="F23" s="90" t="str">
        <f>IF(AND($J23="",$K23=""),"",SUMPRODUCT(--ISNUMBER(SEARCH(","&amp;Verpleegkundigen!$C$2:$C$100&amp;",",","&amp;LOWER(SUBSTITUTE(SUBSTITUTE($J23," ",""),CHAR(160),""))&amp;","))*(Verpleegkundigen!$C$2:$C$100&lt;&gt;LOWER(SUBSTITUTE(SUBSTITUTE($K23," ",""),CHAR(160),""))),Verpleegkundigen!$B$2:$B$100)+IF($K23&lt;&gt;"",1,0))</f>
        <v/>
      </c>
      <c r="G23" s="7" t="str">
        <f>IF(AND(C23&lt;&gt;"",D23&lt;&gt;"",C23&gt;D23),"+" &amp; TEXT(C23-D23,"0"),"")</f>
        <v/>
      </c>
      <c r="H23" s="8"/>
      <c r="I23" s="7">
        <f>IF($J23="",5,LEN($J23)-LEN(SUBSTITUTE($J23,",",""))+1)</f>
        <v>5</v>
      </c>
      <c r="J23" s="7"/>
      <c r="K23" s="7"/>
      <c r="L23" s="7"/>
    </row>
    <row r="24" spans="1:12" x14ac:dyDescent="0.25">
      <c r="A24" s="9">
        <v>46079</v>
      </c>
      <c r="B24" s="10" t="s">
        <v>16</v>
      </c>
      <c r="C24" s="10">
        <v>17</v>
      </c>
      <c r="D24" s="10" t="str">
        <f>IF(AND($J24="",$K24=""),"",SUMPRODUCT(--ISNUMBER(SEARCH(","&amp;Verpleegkundigen!$C$2:$C$100&amp;",",","&amp;LOWER(SUBSTITUTE(SUBSTITUTE($J24," ",""),CHAR(160),""))&amp;","))*(Verpleegkundigen!$C$2:$C$100&lt;&gt;LOWER(SUBSTITUTE(SUBSTITUTE($K24," ",""),CHAR(160),""))),Verpleegkundigen!$B$2:$B$100)+IF($K24&lt;&gt;"",1,0))</f>
        <v/>
      </c>
      <c r="E24" s="64">
        <f>IF(F24&gt;D24,1,IF(F24=D24,0,-1))</f>
        <v>0</v>
      </c>
      <c r="F24" s="91" t="str">
        <f>IF(AND($J24="",$K24=""),"",SUMPRODUCT(--ISNUMBER(SEARCH(","&amp;Verpleegkundigen!$C$2:$C$100&amp;",",","&amp;LOWER(SUBSTITUTE(SUBSTITUTE($J24," ",""),CHAR(160),""))&amp;","))*(Verpleegkundigen!$C$2:$C$100&lt;&gt;LOWER(SUBSTITUTE(SUBSTITUTE($K24," ",""),CHAR(160),""))),Verpleegkundigen!$B$2:$B$100)+IF($K24&lt;&gt;"",1,0))</f>
        <v/>
      </c>
      <c r="G24" s="10" t="str">
        <f>IF(AND(C24&lt;&gt;"",D24&lt;&gt;"",C24&gt;D24),"+" &amp; TEXT(C24-D24,"0"),"")</f>
        <v/>
      </c>
      <c r="H24" s="4"/>
      <c r="I24" s="7">
        <f>IF($J24="",5,LEN($J24)-LEN(SUBSTITUTE($J24,",",""))+1)</f>
        <v>5</v>
      </c>
      <c r="J24" s="10"/>
      <c r="K24" s="10"/>
      <c r="L24" s="10"/>
    </row>
    <row r="25" spans="1:12" x14ac:dyDescent="0.25">
      <c r="A25" s="6">
        <v>46080</v>
      </c>
      <c r="B25" s="7" t="s">
        <v>18</v>
      </c>
      <c r="C25" s="7">
        <v>9</v>
      </c>
      <c r="D25" s="7" t="str">
        <f>IF(AND($J25="",$K25=""),"",SUMPRODUCT(--ISNUMBER(SEARCH(","&amp;Verpleegkundigen!$C$2:$C$100&amp;",",","&amp;LOWER(SUBSTITUTE(SUBSTITUTE($J25," ",""),CHAR(160),""))&amp;","))*(Verpleegkundigen!$C$2:$C$100&lt;&gt;LOWER(SUBSTITUTE(SUBSTITUTE($K25," ",""),CHAR(160),""))),Verpleegkundigen!$B$2:$B$100)+IF($K25&lt;&gt;"",1,0))</f>
        <v/>
      </c>
      <c r="E25" s="63">
        <f>IF(F25&gt;D25,1,IF(F25=D25,0,-1))</f>
        <v>0</v>
      </c>
      <c r="F25" s="90" t="str">
        <f>IF(AND($J25="",$K25=""),"",SUMPRODUCT(--ISNUMBER(SEARCH(","&amp;Verpleegkundigen!$C$2:$C$100&amp;",",","&amp;LOWER(SUBSTITUTE(SUBSTITUTE($J25," ",""),CHAR(160),""))&amp;","))*(Verpleegkundigen!$C$2:$C$100&lt;&gt;LOWER(SUBSTITUTE(SUBSTITUTE($K25," ",""),CHAR(160),""))),Verpleegkundigen!$B$2:$B$100)+IF($K25&lt;&gt;"",1,0))</f>
        <v/>
      </c>
      <c r="G25" s="7" t="str">
        <f>IF(AND(C25&lt;&gt;"",D25&lt;&gt;"",C25&gt;D25),"+" &amp; TEXT(C25-D25,"0"),"")</f>
        <v/>
      </c>
      <c r="H25" s="8"/>
      <c r="I25" s="7">
        <f>IF($J25="",5,LEN($J25)-LEN(SUBSTITUTE($J25,",",""))+1)</f>
        <v>5</v>
      </c>
      <c r="J25" s="7"/>
      <c r="K25" s="7"/>
      <c r="L25" s="7"/>
    </row>
    <row r="26" spans="1:12" x14ac:dyDescent="0.25">
      <c r="E26" s="63"/>
    </row>
    <row r="27" spans="1:12" x14ac:dyDescent="0.25">
      <c r="E27" s="67"/>
    </row>
    <row r="28" spans="1:12" x14ac:dyDescent="0.25">
      <c r="A28" s="6">
        <v>46080</v>
      </c>
      <c r="B28" s="7" t="s">
        <v>18</v>
      </c>
      <c r="C28" s="7">
        <v>9</v>
      </c>
      <c r="D28" s="7" t="str">
        <f>IF(AND($J28="",$K28=""),"",SUMPRODUCT(--ISNUMBER(SEARCH(","&amp;Verpleegkundigen!$C$2:$C$100&amp;",",","&amp;LOWER(SUBSTITUTE(SUBSTITUTE($J28," ",""),CHAR(160),""))&amp;","))*(Verpleegkundigen!$C$2:$C$100&lt;&gt;LOWER(SUBSTITUTE(SUBSTITUTE($K28," ",""),CHAR(160),""))),Verpleegkundigen!$B$2:$B$100)+IF($K28&lt;&gt;"",1,0))</f>
        <v/>
      </c>
      <c r="E28" s="63">
        <f>IF(F28&gt;D28,1,IF(F28=D28,0,-1))</f>
        <v>0</v>
      </c>
      <c r="F28" s="90" t="str">
        <f>IF(AND($J28="",$K28=""),"",SUMPRODUCT(--ISNUMBER(SEARCH(","&amp;Verpleegkundigen!$C$2:$C$100&amp;",",","&amp;LOWER(SUBSTITUTE(SUBSTITUTE($J28," ",""),CHAR(160),""))&amp;","))*(Verpleegkundigen!$C$2:$C$100&lt;&gt;LOWER(SUBSTITUTE(SUBSTITUTE($K28," ",""),CHAR(160),""))),Verpleegkundigen!$B$2:$B$100)+IF($K28&lt;&gt;"",1,0))</f>
        <v/>
      </c>
      <c r="G28" s="7" t="str">
        <f>IF(AND(C28&lt;&gt;"",D28&lt;&gt;"",C28&gt;D28),"+" &amp; TEXT(C28-D28,"0"),"")</f>
        <v/>
      </c>
      <c r="H28" s="8"/>
      <c r="I28" s="7">
        <f>IF($J28="",5,LEN($J28)-LEN(SUBSTITUTE($J28,",",""))+1)</f>
        <v>5</v>
      </c>
      <c r="J28" s="7"/>
      <c r="K28" s="7"/>
      <c r="L28" s="7"/>
    </row>
  </sheetData>
  <conditionalFormatting sqref="C2:C25">
    <cfRule type="expression" dxfId="17" priority="12">
      <formula>AND(ISNUMBER($C2),ISNUMBER($D2),$D2&gt;0,$C2&lt;0.8*$D2)</formula>
    </cfRule>
    <cfRule type="expression" dxfId="16" priority="13">
      <formula>AND(ISNUMBER($C2),ISNUMBER($D2),$D2&gt;0,$C2&gt;=0.8*$D2,$C2&lt;$D2)</formula>
    </cfRule>
    <cfRule type="expression" dxfId="15" priority="14">
      <formula>AND(ISNUMBER($C2),ISNUMBER($D2),$D2&gt;0,$C2&gt;=$D2)</formula>
    </cfRule>
  </conditionalFormatting>
  <conditionalFormatting sqref="I2:I25">
    <cfRule type="expression" dxfId="14" priority="15">
      <formula>$I2=2</formula>
    </cfRule>
    <cfRule type="expression" dxfId="13" priority="16">
      <formula>OR($I2=3,$I2=4)</formula>
    </cfRule>
    <cfRule type="expression" dxfId="12" priority="17">
      <formula>$I2&gt;=5</formula>
    </cfRule>
    <cfRule type="expression" dxfId="11" priority="18">
      <formula>$I2=2</formula>
    </cfRule>
    <cfRule type="expression" dxfId="10" priority="19">
      <formula>OR($I2=3,$I2=4)</formula>
    </cfRule>
    <cfRule type="expression" dxfId="9" priority="20">
      <formula>$I2&gt;=5</formula>
    </cfRule>
  </conditionalFormatting>
  <conditionalFormatting sqref="C28">
    <cfRule type="expression" dxfId="8" priority="2">
      <formula>AND(ISNUMBER($C28),ISNUMBER($D28),$D28&gt;0,$C28&lt;0.8*$D28)</formula>
    </cfRule>
    <cfRule type="expression" dxfId="7" priority="3">
      <formula>AND(ISNUMBER($C28),ISNUMBER($D28),$D28&gt;0,$C28&gt;=0.8*$D28,$C28&lt;$D28)</formula>
    </cfRule>
    <cfRule type="expression" dxfId="6" priority="4">
      <formula>AND(ISNUMBER($C28),ISNUMBER($D28),$D28&gt;0,$C28&gt;=$D28)</formula>
    </cfRule>
  </conditionalFormatting>
  <conditionalFormatting sqref="I28">
    <cfRule type="expression" dxfId="5" priority="5">
      <formula>$I28=2</formula>
    </cfRule>
    <cfRule type="expression" dxfId="4" priority="6">
      <formula>OR($I28=3,$I28=4)</formula>
    </cfRule>
    <cfRule type="expression" dxfId="3" priority="7">
      <formula>$I28&gt;=5</formula>
    </cfRule>
    <cfRule type="expression" dxfId="2" priority="8">
      <formula>$I28=2</formula>
    </cfRule>
    <cfRule type="expression" dxfId="1" priority="9">
      <formula>OR($I28=3,$I28=4)</formula>
    </cfRule>
    <cfRule type="expression" dxfId="0" priority="10">
      <formula>$I28&gt;=5</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iconSet" priority="11" id="{FAF48FAE-EABB-406D-A767-304FA7C650E2}">
            <x14:iconSet iconSet="3Triangles" showValue="0">
              <x14:cfvo type="percent">
                <xm:f>0</xm:f>
              </x14:cfvo>
              <x14:cfvo type="formula">
                <xm:f>0</xm:f>
              </x14:cfvo>
              <x14:cfvo type="formula">
                <xm:f>1</xm:f>
              </x14:cfvo>
            </x14:iconSet>
          </x14:cfRule>
          <xm:sqref>E3:E27</xm:sqref>
        </x14:conditionalFormatting>
        <x14:conditionalFormatting xmlns:xm="http://schemas.microsoft.com/office/excel/2006/main">
          <x14:cfRule type="iconSet" priority="1" id="{3FC9E87C-6AFB-4344-8DCC-94FB9AD80EF5}">
            <x14:iconSet iconSet="3Triangles" showValue="0">
              <x14:cfvo type="percent">
                <xm:f>0</xm:f>
              </x14:cfvo>
              <x14:cfvo type="formula">
                <xm:f>0</xm:f>
              </x14:cfvo>
              <x14:cfvo type="formula">
                <xm:f>1</xm:f>
              </x14:cfvo>
            </x14:iconSet>
          </x14:cfRule>
          <xm:sqref>E28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18</vt:i4>
      </vt:variant>
    </vt:vector>
  </HeadingPairs>
  <TitlesOfParts>
    <vt:vector size="18" baseType="lpstr">
      <vt:lpstr>Verpleegkundigen</vt:lpstr>
      <vt:lpstr>Instructies</vt:lpstr>
      <vt:lpstr>Nov '25</vt:lpstr>
      <vt:lpstr>Dec '25</vt:lpstr>
      <vt:lpstr>Jan '26</vt:lpstr>
      <vt:lpstr>feb'26</vt:lpstr>
      <vt:lpstr>mrt'26</vt:lpstr>
      <vt:lpstr>april'26</vt:lpstr>
      <vt:lpstr>May '26</vt:lpstr>
      <vt:lpstr>Jun '26</vt:lpstr>
      <vt:lpstr>Jul '26</vt:lpstr>
      <vt:lpstr>Aug '26</vt:lpstr>
      <vt:lpstr>Sep '26</vt:lpstr>
      <vt:lpstr>Oct '26</vt:lpstr>
      <vt:lpstr>Nov '26</vt:lpstr>
      <vt:lpstr>Dec '26</vt:lpstr>
      <vt:lpstr>Jan '27</vt:lpstr>
      <vt:lpstr>feb'27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Bloemink, Zoë (Secretariaat kliniek Utrecht)</cp:lastModifiedBy>
  <dcterms:created xsi:type="dcterms:W3CDTF">2025-11-26T08:10:37Z</dcterms:created>
  <dcterms:modified xsi:type="dcterms:W3CDTF">2025-12-19T14:56:06Z</dcterms:modified>
</cp:coreProperties>
</file>