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Afdeling Beschouwend LR\Dagbehandeling beschouwend 4B\Max Onderzoek\"/>
    </mc:Choice>
  </mc:AlternateContent>
  <bookViews>
    <workbookView xWindow="0" yWindow="0" windowWidth="28800" windowHeight="14790"/>
  </bookViews>
  <sheets>
    <sheet name="Sheet1" sheetId="1" r:id="rId1"/>
  </sheets>
  <calcPr calcId="162913"/>
  <fileRecoveryPr repairLoad="1"/>
</workbook>
</file>

<file path=xl/calcChain.xml><?xml version="1.0" encoding="utf-8"?>
<calcChain xmlns="http://schemas.openxmlformats.org/spreadsheetml/2006/main">
  <c r="J56" i="1" l="1"/>
  <c r="J54" i="1"/>
  <c r="J55" i="1"/>
  <c r="J32" i="1" l="1"/>
  <c r="J77" i="1" l="1"/>
  <c r="J76" i="1"/>
  <c r="J75" i="1"/>
  <c r="J74" i="1"/>
  <c r="J73" i="1"/>
  <c r="J71" i="1"/>
  <c r="J70" i="1"/>
  <c r="J67" i="1"/>
  <c r="J65" i="1"/>
  <c r="J72" i="1"/>
  <c r="J69" i="1"/>
  <c r="J68" i="1"/>
  <c r="J66" i="1"/>
  <c r="J64" i="1"/>
  <c r="J63" i="1"/>
  <c r="J62" i="1"/>
  <c r="J59" i="1"/>
  <c r="J58" i="1"/>
  <c r="J57" i="1"/>
  <c r="J61" i="1"/>
  <c r="J60" i="1"/>
  <c r="J53" i="1"/>
  <c r="J52" i="1"/>
  <c r="J51" i="1"/>
  <c r="J47" i="1"/>
  <c r="J48" i="1"/>
  <c r="J39" i="1"/>
  <c r="J42" i="1"/>
  <c r="J41" i="1"/>
  <c r="J40" i="1"/>
  <c r="J37" i="1"/>
  <c r="J36" i="1"/>
  <c r="J35" i="1"/>
  <c r="J33" i="1"/>
  <c r="J31" i="1"/>
  <c r="J30" i="1"/>
  <c r="J8" i="1"/>
  <c r="J9" i="1"/>
  <c r="J29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3" i="1"/>
  <c r="J4" i="1"/>
  <c r="J5" i="1"/>
  <c r="J6" i="1"/>
  <c r="J7" i="1"/>
  <c r="J10" i="1"/>
  <c r="J11" i="1"/>
  <c r="J12" i="1"/>
  <c r="J13" i="1"/>
  <c r="J28" i="1"/>
  <c r="J34" i="1"/>
  <c r="J38" i="1"/>
  <c r="J43" i="1"/>
  <c r="J44" i="1"/>
  <c r="J45" i="1"/>
  <c r="J46" i="1"/>
  <c r="J49" i="1"/>
  <c r="J50" i="1"/>
  <c r="J78" i="1"/>
  <c r="J79" i="1"/>
  <c r="J2" i="1"/>
</calcChain>
</file>

<file path=xl/sharedStrings.xml><?xml version="1.0" encoding="utf-8"?>
<sst xmlns="http://schemas.openxmlformats.org/spreadsheetml/2006/main" count="211" uniqueCount="77">
  <si>
    <t>Medicatie</t>
  </si>
  <si>
    <t>Gift-moment</t>
  </si>
  <si>
    <t>Inlooptijd (min)</t>
  </si>
  <si>
    <t>Observatietijd (min)</t>
  </si>
  <si>
    <t>Spoeltijd (min)</t>
  </si>
  <si>
    <t>Totale tijd (min)</t>
  </si>
  <si>
    <t>Opmerkingen</t>
  </si>
  <si>
    <t>APD (Pamidronaat) 30 mg</t>
  </si>
  <si>
    <t>APD (Pamidronaat) 60 mg</t>
  </si>
  <si>
    <t>APD (Pamidronaat) 90 mg</t>
  </si>
  <si>
    <t>Abatacept</t>
  </si>
  <si>
    <t>Aderlating</t>
  </si>
  <si>
    <t>Aderlating met infuus</t>
  </si>
  <si>
    <t>Bevacizumab (Long)</t>
  </si>
  <si>
    <t>Bloedtransfusie – 1 PC</t>
  </si>
  <si>
    <t>Bloedtransfusie – 1 PC + CITO kruisbloed</t>
  </si>
  <si>
    <t>Bloedtransfusie – 2 PC</t>
  </si>
  <si>
    <t>Bloedtransfusie – 2 PC + CITO kruisbloed</t>
  </si>
  <si>
    <t>Bloedtransfusie – 3 PC</t>
  </si>
  <si>
    <t>Bloedtransfusie – 3 PC + CITO kruisbloed</t>
  </si>
  <si>
    <t xml:space="preserve">Gammaglobuline / Immunoglobuline </t>
  </si>
  <si>
    <t>Magnesiumsulfaat</t>
  </si>
  <si>
    <t>Methylprednisolon</t>
  </si>
  <si>
    <t>Myozyme</t>
  </si>
  <si>
    <t xml:space="preserve">Natalizumab IV </t>
  </si>
  <si>
    <t xml:space="preserve">Natalizumab SC </t>
  </si>
  <si>
    <t>Prehydreren (voor CT)</t>
  </si>
  <si>
    <t xml:space="preserve">Risankizumab </t>
  </si>
  <si>
    <t>Rituximab – Dag 1 (1000 mg)</t>
  </si>
  <si>
    <t>Rituximab – Dag 1 (500 mg)</t>
  </si>
  <si>
    <t>Rituximab – Dag 15 (500mg en 1000mg) (vervolg)</t>
  </si>
  <si>
    <t>Tocilizumab – vanaf 6 maanden</t>
  </si>
  <si>
    <t>Ustekinumab (eenmalig IV)</t>
  </si>
  <si>
    <t>Zoledroninezuur (Zometa)</t>
  </si>
  <si>
    <t>1e gift</t>
  </si>
  <si>
    <t>7e gift en meer</t>
  </si>
  <si>
    <t>1e gift en meer</t>
  </si>
  <si>
    <t>1e 6 keer a 2 weken, volgende 6 keer a 4 weken</t>
  </si>
  <si>
    <t>Na 2 behandeling kan patiënt over naar SC</t>
  </si>
  <si>
    <t>Opbouw 0–2–6 wkn; daarna 8-wekelijks, na 2 behandeling kan patiënt over naar SC</t>
  </si>
  <si>
    <t>Kuur 3 of 5 dagen (spoed), altijd rond de zelfde tijd plannen. Tijd mag per dag maximaal 1,5 uur verschillen van vorige dag</t>
  </si>
  <si>
    <t>Jaarlijks; lab verplicht</t>
  </si>
  <si>
    <t>2e gift en meer</t>
  </si>
  <si>
    <t>Afkoppeltijd (Min)</t>
  </si>
  <si>
    <t>Aanbrengtijd (min)</t>
  </si>
  <si>
    <t xml:space="preserve">2e gift en meer </t>
  </si>
  <si>
    <t>CITO/Lab/urine</t>
  </si>
  <si>
    <t>switchen PC (min)</t>
  </si>
  <si>
    <t>Ferinject – 500 mg en 1000 mg</t>
  </si>
  <si>
    <t>Inlooptijden verschillen per Patiënt</t>
  </si>
  <si>
    <t>Graves orbitopathie – (500 mg)</t>
  </si>
  <si>
    <t>6e t/m 12e gift</t>
  </si>
  <si>
    <t>Infliximab 10 mg</t>
  </si>
  <si>
    <t>1e t/m 3e gift</t>
  </si>
  <si>
    <t>Opbouw 0–2–4 weken, spoeltijd valt binnen observatie tijd</t>
  </si>
  <si>
    <t>4e t/m 6e gift</t>
  </si>
  <si>
    <t xml:space="preserve">7e gift en meer </t>
  </si>
  <si>
    <t>Na 2 behandeling kan patiënt over naar SC, spoeltijd valt binnen observatie tijd</t>
  </si>
  <si>
    <t>Infliximab 5 mg</t>
  </si>
  <si>
    <t>2e t/m 3e gift</t>
  </si>
  <si>
    <t>2e t/m 6e gift</t>
  </si>
  <si>
    <t>Geen vaste tijd   (1 g/uur)</t>
  </si>
  <si>
    <t>Monofer – 500-1000-1500 mg</t>
  </si>
  <si>
    <t>2e gift meer</t>
  </si>
  <si>
    <t>spoeltijd valt binnen observatie tijd</t>
  </si>
  <si>
    <t xml:space="preserve">Geen vaste inlooptijd </t>
  </si>
  <si>
    <t>2e t/m 4 gift</t>
  </si>
  <si>
    <t>5e gift en meer</t>
  </si>
  <si>
    <t xml:space="preserve">Ocrelizumab – Schema 1 </t>
  </si>
  <si>
    <t>Ocrelizumab – Schema 2</t>
  </si>
  <si>
    <t>Ocrelizumab – Schema 3</t>
  </si>
  <si>
    <t>4e gift en meer</t>
  </si>
  <si>
    <t xml:space="preserve">Tocilizumab </t>
  </si>
  <si>
    <t>Daarna SC thuis, spoeltijd valt binnen observatie tijd</t>
  </si>
  <si>
    <t xml:space="preserve">Vedolizumab </t>
  </si>
  <si>
    <t>Inlooptijden verschillen per Patiënt na eerste keer word per patiënt manueel een tijd ingevult die is aangeraden door de verpleegkundige</t>
  </si>
  <si>
    <t>inlooptijden verschillen erg per patiënt, spoeltijd valt binnen observatie tijd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</si>
</sst>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2" xfId="0" applyBorder="1"/>
    <xf numFmtId="0" fontId="0" fillId="2" borderId="12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0" xfId="0" applyFill="1" applyBorder="1"/>
    <xf numFmtId="0" fontId="0" fillId="2" borderId="2" xfId="0" applyFill="1" applyBorder="1"/>
    <xf numFmtId="0" fontId="0" fillId="2" borderId="16" xfId="0" applyFill="1" applyBorder="1"/>
    <xf numFmtId="0" fontId="0" fillId="0" borderId="17" xfId="0" applyBorder="1"/>
    <xf numFmtId="0" fontId="0" fillId="2" borderId="18" xfId="0" applyFill="1" applyBorder="1"/>
    <xf numFmtId="0" fontId="0" fillId="2" borderId="17" xfId="0" applyFill="1" applyBorder="1"/>
    <xf numFmtId="0" fontId="0" fillId="0" borderId="19" xfId="0" applyBorder="1"/>
    <xf numFmtId="0" fontId="0" fillId="2" borderId="19" xfId="0" applyFill="1" applyBorder="1"/>
    <xf numFmtId="0" fontId="0" fillId="2" borderId="20" xfId="0" applyFill="1" applyBorder="1"/>
    <xf numFmtId="0" fontId="0" fillId="0" borderId="21" xfId="0" applyBorder="1"/>
    <xf numFmtId="0" fontId="0" fillId="2" borderId="21" xfId="0" applyFill="1" applyBorder="1"/>
    <xf numFmtId="0" fontId="2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abSelected="1" topLeftCell="A34" workbookViewId="0">
      <selection activeCell="K51" sqref="K51"/>
    </sheetView>
  </sheetViews>
  <sheetFormatPr defaultColWidth="8.85546875" defaultRowHeight="15" x14ac:dyDescent="0.25"/>
  <cols>
    <col min="1" max="1" width="43.140625" customWidth="1"/>
    <col min="2" max="2" width="18.140625" customWidth="1"/>
    <col min="3" max="3" width="20.28515625" customWidth="1"/>
    <col min="4" max="4" width="19" customWidth="1"/>
    <col min="5" max="5" width="17" customWidth="1"/>
    <col min="6" max="6" width="16" customWidth="1"/>
    <col min="7" max="7" width="17.140625" customWidth="1"/>
    <col min="8" max="8" width="13.140625" bestFit="1" customWidth="1"/>
    <col min="9" max="9" width="14.85546875" bestFit="1" customWidth="1"/>
    <col min="10" max="10" width="16.42578125" customWidth="1"/>
    <col min="11" max="11" width="93.85546875" bestFit="1" customWidth="1"/>
  </cols>
  <sheetData>
    <row r="1" spans="1:11" ht="15.75" thickBot="1" x14ac:dyDescent="0.3">
      <c r="A1" s="2" t="s">
        <v>0</v>
      </c>
      <c r="B1" s="2" t="s">
        <v>1</v>
      </c>
      <c r="C1" s="2" t="s">
        <v>2</v>
      </c>
      <c r="D1" s="2" t="s">
        <v>44</v>
      </c>
      <c r="E1" s="2" t="s">
        <v>3</v>
      </c>
      <c r="F1" s="2" t="s">
        <v>4</v>
      </c>
      <c r="G1" s="2" t="s">
        <v>43</v>
      </c>
      <c r="H1" s="2" t="s">
        <v>46</v>
      </c>
      <c r="I1" s="2" t="s">
        <v>47</v>
      </c>
      <c r="J1" s="2" t="s">
        <v>5</v>
      </c>
      <c r="K1" s="1" t="s">
        <v>6</v>
      </c>
    </row>
    <row r="2" spans="1:11" ht="15.75" thickBot="1" x14ac:dyDescent="0.3">
      <c r="A2" s="5" t="s">
        <v>7</v>
      </c>
      <c r="B2" s="6" t="s">
        <v>34</v>
      </c>
      <c r="C2" s="6">
        <v>30</v>
      </c>
      <c r="D2" s="6">
        <v>25</v>
      </c>
      <c r="E2" s="6"/>
      <c r="F2" s="6">
        <v>5</v>
      </c>
      <c r="G2" s="6">
        <v>5</v>
      </c>
      <c r="H2" s="21"/>
      <c r="I2" s="21"/>
      <c r="J2" s="7">
        <f t="shared" ref="J2:J7" si="0">C2+D2+E2+F2+G2</f>
        <v>65</v>
      </c>
    </row>
    <row r="3" spans="1:11" ht="15.75" thickBot="1" x14ac:dyDescent="0.3">
      <c r="A3" s="8" t="s">
        <v>7</v>
      </c>
      <c r="B3" s="9" t="s">
        <v>42</v>
      </c>
      <c r="C3" s="9">
        <v>30</v>
      </c>
      <c r="D3" s="9">
        <v>15</v>
      </c>
      <c r="E3" s="9"/>
      <c r="F3" s="9">
        <v>5</v>
      </c>
      <c r="G3" s="9">
        <v>5</v>
      </c>
      <c r="H3" s="22"/>
      <c r="I3" s="22"/>
      <c r="J3" s="7">
        <f t="shared" si="0"/>
        <v>55</v>
      </c>
    </row>
    <row r="4" spans="1:11" ht="15.75" thickBot="1" x14ac:dyDescent="0.3">
      <c r="A4" s="12" t="s">
        <v>8</v>
      </c>
      <c r="B4" s="13" t="s">
        <v>34</v>
      </c>
      <c r="C4" s="13">
        <v>60</v>
      </c>
      <c r="D4" s="13">
        <v>25</v>
      </c>
      <c r="E4" s="13"/>
      <c r="F4" s="13">
        <v>5</v>
      </c>
      <c r="G4" s="13">
        <v>5</v>
      </c>
      <c r="H4" s="23"/>
      <c r="I4" s="23"/>
      <c r="J4" s="7">
        <f t="shared" si="0"/>
        <v>95</v>
      </c>
    </row>
    <row r="5" spans="1:11" ht="15.75" thickBot="1" x14ac:dyDescent="0.3">
      <c r="A5" s="14" t="s">
        <v>8</v>
      </c>
      <c r="B5" s="15" t="s">
        <v>42</v>
      </c>
      <c r="C5" s="15">
        <v>60</v>
      </c>
      <c r="D5" s="15">
        <v>15</v>
      </c>
      <c r="E5" s="15"/>
      <c r="F5" s="15">
        <v>5</v>
      </c>
      <c r="G5" s="15">
        <v>5</v>
      </c>
      <c r="H5" s="24"/>
      <c r="I5" s="24"/>
      <c r="J5" s="7">
        <f t="shared" si="0"/>
        <v>85</v>
      </c>
    </row>
    <row r="6" spans="1:11" ht="15.75" thickBot="1" x14ac:dyDescent="0.3">
      <c r="A6" s="5" t="s">
        <v>9</v>
      </c>
      <c r="B6" s="6" t="s">
        <v>34</v>
      </c>
      <c r="C6" s="6">
        <v>90</v>
      </c>
      <c r="D6" s="6">
        <v>25</v>
      </c>
      <c r="E6" s="6"/>
      <c r="F6" s="6">
        <v>5</v>
      </c>
      <c r="G6" s="6">
        <v>5</v>
      </c>
      <c r="H6" s="21"/>
      <c r="I6" s="21"/>
      <c r="J6" s="7">
        <f t="shared" si="0"/>
        <v>125</v>
      </c>
    </row>
    <row r="7" spans="1:11" ht="15.75" thickBot="1" x14ac:dyDescent="0.3">
      <c r="A7" s="8" t="s">
        <v>9</v>
      </c>
      <c r="B7" s="9" t="s">
        <v>42</v>
      </c>
      <c r="C7" s="9">
        <v>90</v>
      </c>
      <c r="D7" s="9">
        <v>15</v>
      </c>
      <c r="E7" s="9"/>
      <c r="F7" s="9">
        <v>5</v>
      </c>
      <c r="G7" s="9">
        <v>5</v>
      </c>
      <c r="H7" s="22"/>
      <c r="I7" s="22"/>
      <c r="J7" s="7">
        <f t="shared" si="0"/>
        <v>115</v>
      </c>
    </row>
    <row r="8" spans="1:11" ht="15.75" thickBot="1" x14ac:dyDescent="0.3">
      <c r="A8" s="12" t="s">
        <v>10</v>
      </c>
      <c r="B8" s="13" t="s">
        <v>34</v>
      </c>
      <c r="C8" s="13">
        <v>30</v>
      </c>
      <c r="D8" s="13">
        <v>25</v>
      </c>
      <c r="E8" s="13">
        <v>30</v>
      </c>
      <c r="F8" s="13">
        <v>5</v>
      </c>
      <c r="G8" s="13">
        <v>5</v>
      </c>
      <c r="H8" s="23"/>
      <c r="I8" s="23"/>
      <c r="J8" s="7">
        <f>C8+D8+E8+G8</f>
        <v>90</v>
      </c>
      <c r="K8" t="s">
        <v>54</v>
      </c>
    </row>
    <row r="9" spans="1:11" ht="15.75" thickBot="1" x14ac:dyDescent="0.3">
      <c r="A9" s="16" t="s">
        <v>10</v>
      </c>
      <c r="B9" s="17" t="s">
        <v>42</v>
      </c>
      <c r="C9" s="17">
        <v>30</v>
      </c>
      <c r="D9" s="17">
        <v>15</v>
      </c>
      <c r="E9" s="17">
        <v>30</v>
      </c>
      <c r="F9" s="17">
        <v>5</v>
      </c>
      <c r="G9" s="17">
        <v>5</v>
      </c>
      <c r="H9" s="24"/>
      <c r="I9" s="24"/>
      <c r="J9" s="7">
        <f>C9+D9+E9+G9</f>
        <v>80</v>
      </c>
      <c r="K9" t="s">
        <v>54</v>
      </c>
    </row>
    <row r="10" spans="1:11" ht="15.75" thickBot="1" x14ac:dyDescent="0.3">
      <c r="A10" s="5" t="s">
        <v>11</v>
      </c>
      <c r="B10" s="6" t="s">
        <v>34</v>
      </c>
      <c r="C10" s="6">
        <v>15</v>
      </c>
      <c r="D10" s="6">
        <v>25</v>
      </c>
      <c r="E10" s="6"/>
      <c r="F10" s="6"/>
      <c r="G10" s="6">
        <v>5</v>
      </c>
      <c r="H10" s="21"/>
      <c r="I10" s="21"/>
      <c r="J10" s="7">
        <f>C10+D10+E10+F10+G10</f>
        <v>45</v>
      </c>
    </row>
    <row r="11" spans="1:11" ht="15.75" thickBot="1" x14ac:dyDescent="0.3">
      <c r="A11" s="26" t="s">
        <v>11</v>
      </c>
      <c r="B11" s="27" t="s">
        <v>45</v>
      </c>
      <c r="C11" s="27">
        <v>15</v>
      </c>
      <c r="D11" s="27">
        <v>15</v>
      </c>
      <c r="E11" s="27"/>
      <c r="F11" s="27"/>
      <c r="G11" s="27">
        <v>5</v>
      </c>
      <c r="H11" s="22"/>
      <c r="I11" s="22"/>
      <c r="J11" s="18">
        <f>C11+D11+E11+F11+G11</f>
        <v>35</v>
      </c>
    </row>
    <row r="12" spans="1:11" x14ac:dyDescent="0.25">
      <c r="A12" s="12" t="s">
        <v>12</v>
      </c>
      <c r="B12" s="13" t="s">
        <v>34</v>
      </c>
      <c r="C12" s="13">
        <v>20</v>
      </c>
      <c r="D12" s="13">
        <v>25</v>
      </c>
      <c r="E12" s="13"/>
      <c r="F12" s="13"/>
      <c r="G12" s="13">
        <v>5</v>
      </c>
      <c r="H12" s="23"/>
      <c r="I12" s="23"/>
      <c r="J12" s="7">
        <f>C12+D12+E12+F12+G12</f>
        <v>50</v>
      </c>
    </row>
    <row r="13" spans="1:11" ht="15.75" thickBot="1" x14ac:dyDescent="0.3">
      <c r="A13" s="16" t="s">
        <v>12</v>
      </c>
      <c r="B13" s="17" t="s">
        <v>45</v>
      </c>
      <c r="C13" s="17">
        <v>20</v>
      </c>
      <c r="D13" s="17">
        <v>15</v>
      </c>
      <c r="E13" s="17"/>
      <c r="F13" s="17"/>
      <c r="G13" s="17">
        <v>5</v>
      </c>
      <c r="H13" s="25"/>
      <c r="I13" s="25"/>
      <c r="J13" s="20">
        <f>C13+D13+E13+F13+G13</f>
        <v>40</v>
      </c>
    </row>
    <row r="14" spans="1:11" x14ac:dyDescent="0.25">
      <c r="A14" s="5" t="s">
        <v>13</v>
      </c>
      <c r="B14" s="6" t="s">
        <v>34</v>
      </c>
      <c r="C14" s="6">
        <v>15</v>
      </c>
      <c r="D14" s="6">
        <v>25</v>
      </c>
      <c r="E14" s="6"/>
      <c r="F14" s="6">
        <v>5</v>
      </c>
      <c r="G14" s="6">
        <v>5</v>
      </c>
      <c r="H14" s="21">
        <v>170</v>
      </c>
      <c r="I14" s="21"/>
      <c r="J14" s="7">
        <f>C14+D14+E14+F14+G14+H14</f>
        <v>220</v>
      </c>
      <c r="K14" t="s">
        <v>37</v>
      </c>
    </row>
    <row r="15" spans="1:11" ht="15.75" thickBot="1" x14ac:dyDescent="0.3">
      <c r="A15" s="26" t="s">
        <v>13</v>
      </c>
      <c r="B15" s="27" t="s">
        <v>42</v>
      </c>
      <c r="C15" s="27">
        <v>15</v>
      </c>
      <c r="D15" s="27">
        <v>15</v>
      </c>
      <c r="E15" s="27"/>
      <c r="F15" s="27">
        <v>5</v>
      </c>
      <c r="G15" s="27">
        <v>5</v>
      </c>
      <c r="H15" s="28">
        <v>170</v>
      </c>
      <c r="I15" s="28"/>
      <c r="J15" s="20">
        <f>C15+D15+E15+F15+G15+H15</f>
        <v>210</v>
      </c>
      <c r="K15" t="s">
        <v>37</v>
      </c>
    </row>
    <row r="16" spans="1:11" x14ac:dyDescent="0.25">
      <c r="A16" s="12" t="s">
        <v>14</v>
      </c>
      <c r="B16" s="13" t="s">
        <v>34</v>
      </c>
      <c r="C16" s="13">
        <v>90</v>
      </c>
      <c r="D16" s="13">
        <v>25</v>
      </c>
      <c r="E16" s="13"/>
      <c r="F16" s="13">
        <v>5</v>
      </c>
      <c r="G16" s="13">
        <v>5</v>
      </c>
      <c r="H16" s="13"/>
      <c r="I16" s="23"/>
      <c r="J16" s="7">
        <f>C16+D16+E16+F16+G16</f>
        <v>125</v>
      </c>
      <c r="K16" t="s">
        <v>49</v>
      </c>
    </row>
    <row r="17" spans="1:11" ht="15.75" thickBot="1" x14ac:dyDescent="0.3">
      <c r="A17" s="16" t="s">
        <v>14</v>
      </c>
      <c r="B17" s="17" t="s">
        <v>42</v>
      </c>
      <c r="C17" s="17">
        <v>90</v>
      </c>
      <c r="D17" s="17">
        <v>15</v>
      </c>
      <c r="E17" s="17"/>
      <c r="F17" s="17">
        <v>5</v>
      </c>
      <c r="G17" s="17">
        <v>5</v>
      </c>
      <c r="H17" s="17"/>
      <c r="I17" s="25"/>
      <c r="J17" s="20">
        <f>C17+D17+E17+F17+G17</f>
        <v>115</v>
      </c>
      <c r="K17" t="s">
        <v>49</v>
      </c>
    </row>
    <row r="18" spans="1:11" x14ac:dyDescent="0.25">
      <c r="A18" s="5" t="s">
        <v>15</v>
      </c>
      <c r="B18" s="6" t="s">
        <v>34</v>
      </c>
      <c r="C18" s="6">
        <v>90</v>
      </c>
      <c r="D18" s="6">
        <v>25</v>
      </c>
      <c r="E18" s="6"/>
      <c r="F18" s="6">
        <v>5</v>
      </c>
      <c r="G18" s="6">
        <v>5</v>
      </c>
      <c r="H18" s="6">
        <v>60</v>
      </c>
      <c r="I18" s="21"/>
      <c r="J18" s="7">
        <f>C18+D18+E18+F18+G18+H18</f>
        <v>185</v>
      </c>
      <c r="K18" t="s">
        <v>49</v>
      </c>
    </row>
    <row r="19" spans="1:11" ht="15.75" thickBot="1" x14ac:dyDescent="0.3">
      <c r="A19" s="26" t="s">
        <v>15</v>
      </c>
      <c r="B19" s="27" t="s">
        <v>42</v>
      </c>
      <c r="C19" s="27">
        <v>90</v>
      </c>
      <c r="D19" s="27">
        <v>15</v>
      </c>
      <c r="E19" s="27"/>
      <c r="F19" s="27">
        <v>5</v>
      </c>
      <c r="G19" s="27">
        <v>5</v>
      </c>
      <c r="H19" s="27">
        <v>60</v>
      </c>
      <c r="I19" s="28"/>
      <c r="J19" s="20">
        <f>C19+D19+E19+F19+G19+H19</f>
        <v>175</v>
      </c>
      <c r="K19" t="s">
        <v>49</v>
      </c>
    </row>
    <row r="20" spans="1:11" x14ac:dyDescent="0.25">
      <c r="A20" s="12" t="s">
        <v>16</v>
      </c>
      <c r="B20" s="13" t="s">
        <v>34</v>
      </c>
      <c r="C20" s="13">
        <v>180</v>
      </c>
      <c r="D20" s="13">
        <v>25</v>
      </c>
      <c r="E20" s="13"/>
      <c r="F20" s="13">
        <v>5</v>
      </c>
      <c r="G20" s="13">
        <v>5</v>
      </c>
      <c r="H20" s="13"/>
      <c r="I20" s="23">
        <v>7</v>
      </c>
      <c r="J20" s="7">
        <f>C20+D20+E20+F20+G20+I20</f>
        <v>222</v>
      </c>
      <c r="K20" t="s">
        <v>49</v>
      </c>
    </row>
    <row r="21" spans="1:11" ht="15.75" thickBot="1" x14ac:dyDescent="0.3">
      <c r="A21" s="16" t="s">
        <v>16</v>
      </c>
      <c r="B21" s="17" t="s">
        <v>42</v>
      </c>
      <c r="C21" s="17">
        <v>180</v>
      </c>
      <c r="D21" s="17">
        <v>15</v>
      </c>
      <c r="E21" s="17"/>
      <c r="F21" s="17">
        <v>5</v>
      </c>
      <c r="G21" s="17">
        <v>5</v>
      </c>
      <c r="H21" s="17"/>
      <c r="I21" s="25">
        <v>7</v>
      </c>
      <c r="J21" s="20">
        <f>C21+D21+E21+F21+G21+I21</f>
        <v>212</v>
      </c>
      <c r="K21" t="s">
        <v>49</v>
      </c>
    </row>
    <row r="22" spans="1:11" x14ac:dyDescent="0.25">
      <c r="A22" s="5" t="s">
        <v>17</v>
      </c>
      <c r="B22" s="6" t="s">
        <v>34</v>
      </c>
      <c r="C22" s="6">
        <v>180</v>
      </c>
      <c r="D22" s="6">
        <v>25</v>
      </c>
      <c r="E22" s="6"/>
      <c r="F22" s="6">
        <v>5</v>
      </c>
      <c r="G22" s="6">
        <v>5</v>
      </c>
      <c r="H22" s="6">
        <v>60</v>
      </c>
      <c r="I22" s="21">
        <v>7</v>
      </c>
      <c r="J22" s="7">
        <f>C22+D22+E22+F22+G22+H22+I22</f>
        <v>282</v>
      </c>
      <c r="K22" t="s">
        <v>49</v>
      </c>
    </row>
    <row r="23" spans="1:11" ht="15.75" thickBot="1" x14ac:dyDescent="0.3">
      <c r="A23" s="26" t="s">
        <v>17</v>
      </c>
      <c r="B23" s="27" t="s">
        <v>42</v>
      </c>
      <c r="C23" s="27">
        <v>180</v>
      </c>
      <c r="D23" s="27">
        <v>15</v>
      </c>
      <c r="E23" s="27"/>
      <c r="F23" s="27">
        <v>5</v>
      </c>
      <c r="G23" s="27">
        <v>5</v>
      </c>
      <c r="H23" s="27">
        <v>60</v>
      </c>
      <c r="I23" s="28">
        <v>7</v>
      </c>
      <c r="J23" s="20">
        <f>C23+D23+E23+F23+G23+H23+I23</f>
        <v>272</v>
      </c>
      <c r="K23" t="s">
        <v>49</v>
      </c>
    </row>
    <row r="24" spans="1:11" x14ac:dyDescent="0.25">
      <c r="A24" s="12" t="s">
        <v>18</v>
      </c>
      <c r="B24" s="13" t="s">
        <v>34</v>
      </c>
      <c r="C24" s="13">
        <v>270</v>
      </c>
      <c r="D24" s="13">
        <v>25</v>
      </c>
      <c r="E24" s="13"/>
      <c r="F24" s="13">
        <v>5</v>
      </c>
      <c r="G24" s="13">
        <v>5</v>
      </c>
      <c r="H24" s="13"/>
      <c r="I24" s="13">
        <v>14</v>
      </c>
      <c r="J24" s="7">
        <f>C24+D24+E24+F24+G24+I24</f>
        <v>319</v>
      </c>
      <c r="K24" t="s">
        <v>49</v>
      </c>
    </row>
    <row r="25" spans="1:11" ht="15.75" thickBot="1" x14ac:dyDescent="0.3">
      <c r="A25" s="16" t="s">
        <v>18</v>
      </c>
      <c r="B25" s="17" t="s">
        <v>42</v>
      </c>
      <c r="C25" s="17">
        <v>270</v>
      </c>
      <c r="D25" s="17">
        <v>15</v>
      </c>
      <c r="E25" s="17"/>
      <c r="F25" s="17">
        <v>5</v>
      </c>
      <c r="G25" s="17">
        <v>5</v>
      </c>
      <c r="H25" s="17"/>
      <c r="I25" s="17">
        <v>14</v>
      </c>
      <c r="J25" s="20">
        <f>C25+D25+E25+F25+G25+I25</f>
        <v>309</v>
      </c>
      <c r="K25" t="s">
        <v>49</v>
      </c>
    </row>
    <row r="26" spans="1:11" x14ac:dyDescent="0.25">
      <c r="A26" s="5" t="s">
        <v>19</v>
      </c>
      <c r="B26" s="6" t="s">
        <v>34</v>
      </c>
      <c r="C26" s="6">
        <v>270</v>
      </c>
      <c r="D26" s="6">
        <v>25</v>
      </c>
      <c r="E26" s="6"/>
      <c r="F26" s="6">
        <v>5</v>
      </c>
      <c r="G26" s="6">
        <v>5</v>
      </c>
      <c r="H26" s="6">
        <v>60</v>
      </c>
      <c r="I26" s="6">
        <v>14</v>
      </c>
      <c r="J26" s="7">
        <f>C26+D26+E26+F26+G26+I26+H26</f>
        <v>379</v>
      </c>
    </row>
    <row r="27" spans="1:11" ht="15.75" thickBot="1" x14ac:dyDescent="0.3">
      <c r="A27" s="26" t="s">
        <v>19</v>
      </c>
      <c r="B27" s="27" t="s">
        <v>42</v>
      </c>
      <c r="C27" s="27">
        <v>270</v>
      </c>
      <c r="D27" s="27">
        <v>15</v>
      </c>
      <c r="E27" s="27"/>
      <c r="F27" s="27">
        <v>5</v>
      </c>
      <c r="G27" s="27">
        <v>5</v>
      </c>
      <c r="H27" s="27">
        <v>60</v>
      </c>
      <c r="I27" s="27">
        <v>14</v>
      </c>
      <c r="J27" s="20">
        <f>C27+D27+E27+F27+G27+I27+H27</f>
        <v>369</v>
      </c>
    </row>
    <row r="28" spans="1:11" x14ac:dyDescent="0.25">
      <c r="A28" s="12" t="s">
        <v>48</v>
      </c>
      <c r="B28" s="13" t="s">
        <v>34</v>
      </c>
      <c r="C28" s="13">
        <v>60</v>
      </c>
      <c r="D28" s="13">
        <v>25</v>
      </c>
      <c r="E28" s="13"/>
      <c r="F28" s="13">
        <v>5</v>
      </c>
      <c r="G28" s="13">
        <v>5</v>
      </c>
      <c r="H28" s="13"/>
      <c r="I28" s="13"/>
      <c r="J28" s="7">
        <f>C28+D28+E28+F28+G28</f>
        <v>95</v>
      </c>
    </row>
    <row r="29" spans="1:11" ht="15.75" thickBot="1" x14ac:dyDescent="0.3">
      <c r="A29" s="16" t="s">
        <v>48</v>
      </c>
      <c r="B29" s="17" t="s">
        <v>42</v>
      </c>
      <c r="C29" s="17">
        <v>60</v>
      </c>
      <c r="D29" s="17">
        <v>15</v>
      </c>
      <c r="E29" s="17"/>
      <c r="F29" s="17">
        <v>5</v>
      </c>
      <c r="G29" s="17">
        <v>5</v>
      </c>
      <c r="H29" s="17"/>
      <c r="I29" s="17"/>
      <c r="J29" s="20">
        <f>C29+D29+E29+F29+G29</f>
        <v>85</v>
      </c>
    </row>
    <row r="30" spans="1:11" x14ac:dyDescent="0.25">
      <c r="A30" s="5" t="s">
        <v>20</v>
      </c>
      <c r="B30" s="6" t="s">
        <v>34</v>
      </c>
      <c r="C30" s="6">
        <v>170</v>
      </c>
      <c r="D30" s="6">
        <v>25</v>
      </c>
      <c r="E30" s="6">
        <v>20</v>
      </c>
      <c r="F30" s="6">
        <v>5</v>
      </c>
      <c r="G30" s="6">
        <v>5</v>
      </c>
      <c r="H30" s="6"/>
      <c r="I30" s="6"/>
      <c r="J30" s="7">
        <f>C30+D30+E30+G30</f>
        <v>220</v>
      </c>
      <c r="K30" t="s">
        <v>76</v>
      </c>
    </row>
    <row r="31" spans="1:11" ht="15.75" thickBot="1" x14ac:dyDescent="0.3">
      <c r="A31" s="26" t="s">
        <v>20</v>
      </c>
      <c r="B31" s="27" t="s">
        <v>45</v>
      </c>
      <c r="C31" s="27">
        <v>170</v>
      </c>
      <c r="D31" s="27">
        <v>15</v>
      </c>
      <c r="E31" s="27">
        <v>20</v>
      </c>
      <c r="F31" s="27">
        <v>5</v>
      </c>
      <c r="G31" s="27">
        <v>5</v>
      </c>
      <c r="H31" s="27"/>
      <c r="I31" s="27"/>
      <c r="J31" s="20">
        <f>C31+D31+E31+G31</f>
        <v>210</v>
      </c>
      <c r="K31" t="s">
        <v>75</v>
      </c>
    </row>
    <row r="32" spans="1:11" x14ac:dyDescent="0.25">
      <c r="A32" s="12" t="s">
        <v>50</v>
      </c>
      <c r="B32" s="13" t="s">
        <v>34</v>
      </c>
      <c r="C32" s="13">
        <v>100</v>
      </c>
      <c r="D32" s="13">
        <v>25</v>
      </c>
      <c r="E32" s="13"/>
      <c r="F32" s="13">
        <v>5</v>
      </c>
      <c r="G32" s="13">
        <v>5</v>
      </c>
      <c r="H32" s="13"/>
      <c r="I32" s="13"/>
      <c r="J32" s="7">
        <f>SUM(C32+D32+F32+G32)</f>
        <v>135</v>
      </c>
    </row>
    <row r="33" spans="1:11" x14ac:dyDescent="0.25">
      <c r="A33" s="29" t="s">
        <v>50</v>
      </c>
      <c r="B33" s="4" t="s">
        <v>60</v>
      </c>
      <c r="C33" s="4">
        <v>100</v>
      </c>
      <c r="D33" s="4">
        <v>15</v>
      </c>
      <c r="E33" s="4"/>
      <c r="F33" s="4">
        <v>5</v>
      </c>
      <c r="G33" s="4">
        <v>5</v>
      </c>
      <c r="H33" s="4"/>
      <c r="I33" s="4"/>
      <c r="J33" s="30">
        <f>C33+D33+E33+F33+G33</f>
        <v>125</v>
      </c>
    </row>
    <row r="34" spans="1:11" ht="15.75" thickBot="1" x14ac:dyDescent="0.3">
      <c r="A34" s="14" t="s">
        <v>50</v>
      </c>
      <c r="B34" s="15" t="s">
        <v>51</v>
      </c>
      <c r="C34" s="15">
        <v>30</v>
      </c>
      <c r="D34" s="15">
        <v>15</v>
      </c>
      <c r="E34" s="15"/>
      <c r="F34" s="15">
        <v>5</v>
      </c>
      <c r="G34" s="15">
        <v>5</v>
      </c>
      <c r="H34" s="15"/>
      <c r="I34" s="15"/>
      <c r="J34" s="10">
        <f>C34+D34+E34+F34+G34</f>
        <v>55</v>
      </c>
    </row>
    <row r="35" spans="1:11" x14ac:dyDescent="0.25">
      <c r="A35" s="34" t="s">
        <v>52</v>
      </c>
      <c r="B35" s="11" t="s">
        <v>34</v>
      </c>
      <c r="C35" s="11">
        <v>180</v>
      </c>
      <c r="D35" s="11">
        <v>25</v>
      </c>
      <c r="E35" s="11">
        <v>30</v>
      </c>
      <c r="F35" s="11">
        <v>5</v>
      </c>
      <c r="G35" s="11">
        <v>5</v>
      </c>
      <c r="H35" s="11"/>
      <c r="I35" s="11"/>
      <c r="J35" s="19">
        <f>C35+D35+E35+G35</f>
        <v>240</v>
      </c>
    </row>
    <row r="36" spans="1:11" x14ac:dyDescent="0.25">
      <c r="A36" s="31" t="s">
        <v>52</v>
      </c>
      <c r="B36" s="3" t="s">
        <v>59</v>
      </c>
      <c r="C36" s="3">
        <v>180</v>
      </c>
      <c r="D36" s="3">
        <v>15</v>
      </c>
      <c r="E36" s="3">
        <v>30</v>
      </c>
      <c r="F36" s="3">
        <v>5</v>
      </c>
      <c r="G36" s="3">
        <v>5</v>
      </c>
      <c r="H36" s="3"/>
      <c r="I36" s="3"/>
      <c r="J36" s="30">
        <f>C36+D36+E36+G36</f>
        <v>230</v>
      </c>
      <c r="K36" t="s">
        <v>57</v>
      </c>
    </row>
    <row r="37" spans="1:11" x14ac:dyDescent="0.25">
      <c r="A37" s="31" t="s">
        <v>52</v>
      </c>
      <c r="B37" s="3" t="s">
        <v>55</v>
      </c>
      <c r="C37" s="3">
        <v>90</v>
      </c>
      <c r="D37" s="3">
        <v>15</v>
      </c>
      <c r="E37" s="3">
        <v>30</v>
      </c>
      <c r="F37" s="3">
        <v>5</v>
      </c>
      <c r="G37" s="3">
        <v>5</v>
      </c>
      <c r="H37" s="3"/>
      <c r="I37" s="3"/>
      <c r="J37" s="30">
        <f>C37+D37+E37+G37</f>
        <v>140</v>
      </c>
      <c r="K37" t="s">
        <v>57</v>
      </c>
    </row>
    <row r="38" spans="1:11" ht="15.75" thickBot="1" x14ac:dyDescent="0.3">
      <c r="A38" s="26" t="s">
        <v>52</v>
      </c>
      <c r="B38" s="27" t="s">
        <v>56</v>
      </c>
      <c r="C38" s="27">
        <v>60</v>
      </c>
      <c r="D38" s="27">
        <v>15</v>
      </c>
      <c r="E38" s="27"/>
      <c r="F38" s="27">
        <v>5</v>
      </c>
      <c r="G38" s="27">
        <v>5</v>
      </c>
      <c r="H38" s="27"/>
      <c r="I38" s="27"/>
      <c r="J38" s="20">
        <f>C38+D38+E38+F38+G38</f>
        <v>85</v>
      </c>
      <c r="K38" t="s">
        <v>38</v>
      </c>
    </row>
    <row r="39" spans="1:11" x14ac:dyDescent="0.25">
      <c r="A39" s="12" t="s">
        <v>58</v>
      </c>
      <c r="B39" s="13" t="s">
        <v>34</v>
      </c>
      <c r="C39" s="13">
        <v>120</v>
      </c>
      <c r="D39" s="13">
        <v>25</v>
      </c>
      <c r="E39" s="13">
        <v>30</v>
      </c>
      <c r="F39" s="13">
        <v>5</v>
      </c>
      <c r="G39" s="13">
        <v>5</v>
      </c>
      <c r="H39" s="13"/>
      <c r="I39" s="13"/>
      <c r="J39" s="7">
        <f>C39+D39+E39+G39</f>
        <v>180</v>
      </c>
    </row>
    <row r="40" spans="1:11" x14ac:dyDescent="0.25">
      <c r="A40" s="29" t="s">
        <v>58</v>
      </c>
      <c r="B40" s="4" t="s">
        <v>59</v>
      </c>
      <c r="C40" s="4">
        <v>120</v>
      </c>
      <c r="D40" s="4">
        <v>15</v>
      </c>
      <c r="E40" s="4">
        <v>30</v>
      </c>
      <c r="F40" s="4">
        <v>5</v>
      </c>
      <c r="G40" s="4">
        <v>5</v>
      </c>
      <c r="H40" s="4"/>
      <c r="I40" s="4"/>
      <c r="J40" s="30">
        <f>C40+D40+E40+G40</f>
        <v>170</v>
      </c>
      <c r="K40" t="s">
        <v>39</v>
      </c>
    </row>
    <row r="41" spans="1:11" x14ac:dyDescent="0.25">
      <c r="A41" s="29" t="s">
        <v>58</v>
      </c>
      <c r="B41" s="4" t="s">
        <v>55</v>
      </c>
      <c r="C41" s="4">
        <v>60</v>
      </c>
      <c r="D41" s="4">
        <v>15</v>
      </c>
      <c r="E41" s="4">
        <v>30</v>
      </c>
      <c r="F41" s="4">
        <v>5</v>
      </c>
      <c r="G41" s="4">
        <v>5</v>
      </c>
      <c r="H41" s="4"/>
      <c r="I41" s="4"/>
      <c r="J41" s="30">
        <f>C41+D41+E41+G41</f>
        <v>110</v>
      </c>
      <c r="K41" t="s">
        <v>39</v>
      </c>
    </row>
    <row r="42" spans="1:11" ht="15.75" thickBot="1" x14ac:dyDescent="0.3">
      <c r="A42" s="16" t="s">
        <v>58</v>
      </c>
      <c r="B42" s="17" t="s">
        <v>35</v>
      </c>
      <c r="C42" s="17">
        <v>30</v>
      </c>
      <c r="D42" s="17">
        <v>15</v>
      </c>
      <c r="E42" s="17"/>
      <c r="F42" s="17">
        <v>5</v>
      </c>
      <c r="G42" s="17">
        <v>5</v>
      </c>
      <c r="H42" s="17"/>
      <c r="I42" s="17"/>
      <c r="J42" s="20">
        <f>C42+D42+E42+F42+G42</f>
        <v>55</v>
      </c>
      <c r="K42" t="s">
        <v>39</v>
      </c>
    </row>
    <row r="43" spans="1:11" x14ac:dyDescent="0.25">
      <c r="A43" s="5" t="s">
        <v>21</v>
      </c>
      <c r="B43" s="6" t="s">
        <v>34</v>
      </c>
      <c r="C43" s="6">
        <v>150</v>
      </c>
      <c r="D43" s="6">
        <v>25</v>
      </c>
      <c r="E43" s="6"/>
      <c r="F43" s="6">
        <v>5</v>
      </c>
      <c r="G43" s="6">
        <v>5</v>
      </c>
      <c r="H43" s="6"/>
      <c r="I43" s="6"/>
      <c r="J43" s="7">
        <f>C43+D43+E43+F43+G43</f>
        <v>185</v>
      </c>
      <c r="K43" t="s">
        <v>61</v>
      </c>
    </row>
    <row r="44" spans="1:11" ht="15.75" thickBot="1" x14ac:dyDescent="0.3">
      <c r="A44" s="26" t="s">
        <v>21</v>
      </c>
      <c r="B44" s="27" t="s">
        <v>45</v>
      </c>
      <c r="C44" s="27">
        <v>150</v>
      </c>
      <c r="D44" s="27">
        <v>15</v>
      </c>
      <c r="E44" s="27"/>
      <c r="F44" s="27">
        <v>5</v>
      </c>
      <c r="G44" s="27">
        <v>5</v>
      </c>
      <c r="H44" s="27"/>
      <c r="I44" s="27"/>
      <c r="J44" s="20">
        <f>C44+D44+E44+F44+G44</f>
        <v>175</v>
      </c>
      <c r="K44" t="s">
        <v>61</v>
      </c>
    </row>
    <row r="45" spans="1:11" x14ac:dyDescent="0.25">
      <c r="A45" s="12" t="s">
        <v>22</v>
      </c>
      <c r="B45" s="13" t="s">
        <v>34</v>
      </c>
      <c r="C45" s="13">
        <v>60</v>
      </c>
      <c r="D45" s="13">
        <v>25</v>
      </c>
      <c r="E45" s="13"/>
      <c r="F45" s="13">
        <v>5</v>
      </c>
      <c r="G45" s="13">
        <v>5</v>
      </c>
      <c r="H45" s="13"/>
      <c r="I45" s="13"/>
      <c r="J45" s="7">
        <f>C45+D45+E45+F45+G45</f>
        <v>95</v>
      </c>
      <c r="K45" t="s">
        <v>40</v>
      </c>
    </row>
    <row r="46" spans="1:11" ht="15.75" thickBot="1" x14ac:dyDescent="0.3">
      <c r="A46" s="16" t="s">
        <v>22</v>
      </c>
      <c r="B46" s="17" t="s">
        <v>42</v>
      </c>
      <c r="C46" s="17">
        <v>60</v>
      </c>
      <c r="D46" s="17">
        <v>15</v>
      </c>
      <c r="E46" s="17"/>
      <c r="F46" s="17">
        <v>5</v>
      </c>
      <c r="G46" s="17">
        <v>5</v>
      </c>
      <c r="H46" s="17"/>
      <c r="I46" s="17"/>
      <c r="J46" s="20">
        <f>C46+D46+E46+F46+G46</f>
        <v>85</v>
      </c>
      <c r="K46" t="s">
        <v>40</v>
      </c>
    </row>
    <row r="47" spans="1:11" x14ac:dyDescent="0.25">
      <c r="A47" s="5" t="s">
        <v>62</v>
      </c>
      <c r="B47" s="6" t="s">
        <v>34</v>
      </c>
      <c r="C47" s="6">
        <v>55</v>
      </c>
      <c r="D47" s="6">
        <v>25</v>
      </c>
      <c r="E47" s="6">
        <v>30</v>
      </c>
      <c r="F47" s="6">
        <v>5</v>
      </c>
      <c r="G47" s="6">
        <v>5</v>
      </c>
      <c r="H47" s="6"/>
      <c r="I47" s="6"/>
      <c r="J47" s="7">
        <f>C47+D47+E47+G47</f>
        <v>115</v>
      </c>
      <c r="K47" t="s">
        <v>64</v>
      </c>
    </row>
    <row r="48" spans="1:11" ht="15.75" thickBot="1" x14ac:dyDescent="0.3">
      <c r="A48" s="26" t="s">
        <v>62</v>
      </c>
      <c r="B48" s="27" t="s">
        <v>63</v>
      </c>
      <c r="C48" s="27">
        <v>55</v>
      </c>
      <c r="D48" s="27">
        <v>15</v>
      </c>
      <c r="E48" s="27">
        <v>30</v>
      </c>
      <c r="F48" s="27">
        <v>5</v>
      </c>
      <c r="G48" s="27">
        <v>5</v>
      </c>
      <c r="H48" s="27"/>
      <c r="I48" s="27"/>
      <c r="J48" s="20">
        <f>C48+D48+E48+G48</f>
        <v>105</v>
      </c>
      <c r="K48" t="s">
        <v>64</v>
      </c>
    </row>
    <row r="49" spans="1:11" x14ac:dyDescent="0.25">
      <c r="A49" s="12" t="s">
        <v>23</v>
      </c>
      <c r="B49" s="13" t="s">
        <v>34</v>
      </c>
      <c r="C49" s="13">
        <v>220</v>
      </c>
      <c r="D49" s="13">
        <v>25</v>
      </c>
      <c r="E49" s="13"/>
      <c r="F49" s="13">
        <v>20</v>
      </c>
      <c r="G49" s="13">
        <v>5</v>
      </c>
      <c r="H49" s="13"/>
      <c r="I49" s="13"/>
      <c r="J49" s="7">
        <f>C49+D49+E49+F49+G49</f>
        <v>270</v>
      </c>
      <c r="K49" t="s">
        <v>65</v>
      </c>
    </row>
    <row r="50" spans="1:11" ht="15.75" thickBot="1" x14ac:dyDescent="0.3">
      <c r="A50" s="16" t="s">
        <v>23</v>
      </c>
      <c r="B50" s="17" t="s">
        <v>42</v>
      </c>
      <c r="C50" s="17">
        <v>220</v>
      </c>
      <c r="D50" s="17">
        <v>15</v>
      </c>
      <c r="E50" s="17"/>
      <c r="F50" s="17">
        <v>20</v>
      </c>
      <c r="G50" s="17">
        <v>5</v>
      </c>
      <c r="H50" s="17"/>
      <c r="I50" s="17"/>
      <c r="J50" s="20">
        <f>C50+D50+E50+F50+G50</f>
        <v>260</v>
      </c>
      <c r="K50" t="s">
        <v>65</v>
      </c>
    </row>
    <row r="51" spans="1:11" x14ac:dyDescent="0.25">
      <c r="A51" s="5" t="s">
        <v>24</v>
      </c>
      <c r="B51" s="6" t="s">
        <v>34</v>
      </c>
      <c r="C51" s="6">
        <v>60</v>
      </c>
      <c r="D51" s="6">
        <v>25</v>
      </c>
      <c r="E51" s="6">
        <v>60</v>
      </c>
      <c r="F51" s="6">
        <v>5</v>
      </c>
      <c r="G51" s="6">
        <v>5</v>
      </c>
      <c r="H51" s="6"/>
      <c r="I51" s="6"/>
      <c r="J51" s="7">
        <f>C51+D51+E51+G51</f>
        <v>150</v>
      </c>
      <c r="K51" t="s">
        <v>64</v>
      </c>
    </row>
    <row r="52" spans="1:11" x14ac:dyDescent="0.25">
      <c r="A52" s="31" t="s">
        <v>24</v>
      </c>
      <c r="B52" s="3" t="s">
        <v>66</v>
      </c>
      <c r="C52" s="3">
        <v>60</v>
      </c>
      <c r="D52" s="3">
        <v>15</v>
      </c>
      <c r="E52" s="3">
        <v>60</v>
      </c>
      <c r="F52" s="3">
        <v>5</v>
      </c>
      <c r="G52" s="3">
        <v>5</v>
      </c>
      <c r="H52" s="3"/>
      <c r="I52" s="3"/>
      <c r="J52" s="30">
        <f>C52+D52+E52+G52</f>
        <v>140</v>
      </c>
      <c r="K52" t="s">
        <v>64</v>
      </c>
    </row>
    <row r="53" spans="1:11" ht="15.75" thickBot="1" x14ac:dyDescent="0.3">
      <c r="A53" s="26" t="s">
        <v>24</v>
      </c>
      <c r="B53" s="27" t="s">
        <v>67</v>
      </c>
      <c r="C53" s="27">
        <v>30</v>
      </c>
      <c r="D53" s="27">
        <v>15</v>
      </c>
      <c r="E53" s="27"/>
      <c r="F53" s="27">
        <v>5</v>
      </c>
      <c r="G53" s="27">
        <v>5</v>
      </c>
      <c r="H53" s="27"/>
      <c r="I53" s="27"/>
      <c r="J53" s="20">
        <f>C53+D53+E53+F53+G53</f>
        <v>55</v>
      </c>
    </row>
    <row r="54" spans="1:11" x14ac:dyDescent="0.25">
      <c r="A54" s="12" t="s">
        <v>25</v>
      </c>
      <c r="B54" s="13" t="s">
        <v>34</v>
      </c>
      <c r="C54" s="13">
        <v>3</v>
      </c>
      <c r="D54" s="13">
        <v>2</v>
      </c>
      <c r="E54" s="13">
        <v>60</v>
      </c>
      <c r="F54" s="13"/>
      <c r="G54" s="13"/>
      <c r="H54" s="13"/>
      <c r="I54" s="13"/>
      <c r="J54" s="7">
        <f>C54+D54+E54+F54+G54</f>
        <v>65</v>
      </c>
    </row>
    <row r="55" spans="1:11" x14ac:dyDescent="0.25">
      <c r="A55" s="29" t="s">
        <v>25</v>
      </c>
      <c r="B55" s="4" t="s">
        <v>60</v>
      </c>
      <c r="C55" s="4">
        <v>3</v>
      </c>
      <c r="D55" s="4">
        <v>2</v>
      </c>
      <c r="E55" s="4">
        <v>60</v>
      </c>
      <c r="F55" s="4"/>
      <c r="G55" s="4"/>
      <c r="H55" s="4"/>
      <c r="I55" s="4"/>
      <c r="J55" s="30">
        <f>D55+E55+C55</f>
        <v>65</v>
      </c>
    </row>
    <row r="56" spans="1:11" ht="15.75" thickBot="1" x14ac:dyDescent="0.3">
      <c r="A56" s="16" t="s">
        <v>25</v>
      </c>
      <c r="B56" s="17" t="s">
        <v>35</v>
      </c>
      <c r="C56" s="17">
        <v>3</v>
      </c>
      <c r="D56" s="17">
        <v>2</v>
      </c>
      <c r="E56" s="17"/>
      <c r="F56" s="17"/>
      <c r="G56" s="17"/>
      <c r="H56" s="17"/>
      <c r="I56" s="17"/>
      <c r="J56" s="20">
        <f>C56+D56+E56+F56+G56</f>
        <v>5</v>
      </c>
    </row>
    <row r="57" spans="1:11" ht="15.75" thickBot="1" x14ac:dyDescent="0.3">
      <c r="A57" s="36" t="s">
        <v>68</v>
      </c>
      <c r="B57" s="33" t="s">
        <v>36</v>
      </c>
      <c r="C57" s="33">
        <v>290</v>
      </c>
      <c r="D57" s="33">
        <v>25</v>
      </c>
      <c r="E57" s="33">
        <v>60</v>
      </c>
      <c r="F57" s="33">
        <v>5</v>
      </c>
      <c r="G57" s="33">
        <v>5</v>
      </c>
      <c r="H57" s="33"/>
      <c r="I57" s="33"/>
      <c r="J57" s="18">
        <f>C57+D57+E57+G57</f>
        <v>380</v>
      </c>
      <c r="K57" t="s">
        <v>64</v>
      </c>
    </row>
    <row r="58" spans="1:11" x14ac:dyDescent="0.25">
      <c r="A58" s="12" t="s">
        <v>69</v>
      </c>
      <c r="B58" s="13" t="s">
        <v>53</v>
      </c>
      <c r="C58" s="13">
        <v>320</v>
      </c>
      <c r="D58" s="13">
        <v>15</v>
      </c>
      <c r="E58" s="13">
        <v>60</v>
      </c>
      <c r="F58" s="13">
        <v>5</v>
      </c>
      <c r="G58" s="13">
        <v>5</v>
      </c>
      <c r="H58" s="13"/>
      <c r="I58" s="13"/>
      <c r="J58" s="7">
        <f>C58+D58+E58+G58</f>
        <v>400</v>
      </c>
      <c r="K58" t="s">
        <v>64</v>
      </c>
    </row>
    <row r="59" spans="1:11" ht="15.75" thickBot="1" x14ac:dyDescent="0.3">
      <c r="A59" s="16" t="s">
        <v>69</v>
      </c>
      <c r="B59" s="17" t="s">
        <v>71</v>
      </c>
      <c r="C59" s="17">
        <v>320</v>
      </c>
      <c r="D59" s="17">
        <v>15</v>
      </c>
      <c r="E59" s="17"/>
      <c r="F59" s="17">
        <v>5</v>
      </c>
      <c r="G59" s="17">
        <v>5</v>
      </c>
      <c r="H59" s="17"/>
      <c r="I59" s="17"/>
      <c r="J59" s="20">
        <f>C59+D59+F59+G59</f>
        <v>345</v>
      </c>
    </row>
    <row r="60" spans="1:11" x14ac:dyDescent="0.25">
      <c r="A60" s="5" t="s">
        <v>70</v>
      </c>
      <c r="B60" s="6" t="s">
        <v>53</v>
      </c>
      <c r="C60" s="6">
        <v>220</v>
      </c>
      <c r="D60" s="6">
        <v>15</v>
      </c>
      <c r="E60" s="6">
        <v>60</v>
      </c>
      <c r="F60" s="6">
        <v>5</v>
      </c>
      <c r="G60" s="6">
        <v>5</v>
      </c>
      <c r="H60" s="6"/>
      <c r="I60" s="6"/>
      <c r="J60" s="7">
        <f>C60+D60+E60+G60</f>
        <v>300</v>
      </c>
      <c r="K60" t="s">
        <v>64</v>
      </c>
    </row>
    <row r="61" spans="1:11" ht="15.75" thickBot="1" x14ac:dyDescent="0.3">
      <c r="A61" s="26" t="s">
        <v>70</v>
      </c>
      <c r="B61" s="27" t="s">
        <v>71</v>
      </c>
      <c r="C61" s="27">
        <v>220</v>
      </c>
      <c r="D61" s="27">
        <v>15</v>
      </c>
      <c r="E61" s="27"/>
      <c r="F61" s="27">
        <v>5</v>
      </c>
      <c r="G61" s="27">
        <v>5</v>
      </c>
      <c r="H61" s="27"/>
      <c r="I61" s="27"/>
      <c r="J61" s="20">
        <f>C61+D61+F61+G61</f>
        <v>245</v>
      </c>
    </row>
    <row r="62" spans="1:11" ht="15.75" thickBot="1" x14ac:dyDescent="0.3">
      <c r="A62" s="35" t="s">
        <v>26</v>
      </c>
      <c r="B62" s="32" t="s">
        <v>34</v>
      </c>
      <c r="C62" s="32">
        <v>60</v>
      </c>
      <c r="D62" s="32">
        <v>15</v>
      </c>
      <c r="E62" s="32"/>
      <c r="F62" s="32"/>
      <c r="G62" s="32">
        <v>5</v>
      </c>
      <c r="H62" s="32"/>
      <c r="I62" s="32"/>
      <c r="J62" s="18">
        <f>C62+D62+E62+F62+G62</f>
        <v>80</v>
      </c>
    </row>
    <row r="63" spans="1:11" x14ac:dyDescent="0.25">
      <c r="A63" s="5" t="s">
        <v>27</v>
      </c>
      <c r="B63" s="6" t="s">
        <v>34</v>
      </c>
      <c r="C63" s="6">
        <v>120</v>
      </c>
      <c r="D63" s="6">
        <v>25</v>
      </c>
      <c r="E63" s="6">
        <v>30</v>
      </c>
      <c r="F63" s="6">
        <v>5</v>
      </c>
      <c r="G63" s="6">
        <v>5</v>
      </c>
      <c r="H63" s="6"/>
      <c r="I63" s="6"/>
      <c r="J63" s="7">
        <f>C63+D63+E63+G63</f>
        <v>180</v>
      </c>
      <c r="K63" t="s">
        <v>64</v>
      </c>
    </row>
    <row r="64" spans="1:11" ht="15.75" thickBot="1" x14ac:dyDescent="0.3">
      <c r="A64" s="26" t="s">
        <v>27</v>
      </c>
      <c r="B64" s="27" t="s">
        <v>42</v>
      </c>
      <c r="C64" s="27">
        <v>60</v>
      </c>
      <c r="D64" s="27">
        <v>15</v>
      </c>
      <c r="E64" s="27">
        <v>30</v>
      </c>
      <c r="F64" s="27">
        <v>5</v>
      </c>
      <c r="G64" s="27">
        <v>5</v>
      </c>
      <c r="H64" s="27"/>
      <c r="I64" s="27"/>
      <c r="J64" s="20">
        <f>C64+D64+E64+G64</f>
        <v>110</v>
      </c>
      <c r="K64" t="s">
        <v>64</v>
      </c>
    </row>
    <row r="65" spans="1:11" x14ac:dyDescent="0.25">
      <c r="A65" s="12" t="s">
        <v>28</v>
      </c>
      <c r="B65" s="13" t="s">
        <v>34</v>
      </c>
      <c r="C65" s="13">
        <v>220</v>
      </c>
      <c r="D65" s="13">
        <v>25</v>
      </c>
      <c r="E65" s="13">
        <v>30</v>
      </c>
      <c r="F65" s="13">
        <v>5</v>
      </c>
      <c r="G65" s="13">
        <v>5</v>
      </c>
      <c r="H65" s="13"/>
      <c r="I65" s="13"/>
      <c r="J65" s="7">
        <f>C65+D65+E65+G65</f>
        <v>280</v>
      </c>
      <c r="K65" s="37" t="s">
        <v>64</v>
      </c>
    </row>
    <row r="66" spans="1:11" ht="15.75" thickBot="1" x14ac:dyDescent="0.3">
      <c r="A66" s="16" t="s">
        <v>28</v>
      </c>
      <c r="B66" s="17" t="s">
        <v>42</v>
      </c>
      <c r="C66" s="17">
        <v>220</v>
      </c>
      <c r="D66" s="17">
        <v>15</v>
      </c>
      <c r="E66" s="17"/>
      <c r="F66" s="17">
        <v>5</v>
      </c>
      <c r="G66" s="17">
        <v>5</v>
      </c>
      <c r="H66" s="17"/>
      <c r="I66" s="17"/>
      <c r="J66" s="20">
        <f>C66+D66+F66+G66</f>
        <v>245</v>
      </c>
    </row>
    <row r="67" spans="1:11" x14ac:dyDescent="0.25">
      <c r="A67" s="5" t="s">
        <v>29</v>
      </c>
      <c r="B67" s="6" t="s">
        <v>34</v>
      </c>
      <c r="C67" s="6">
        <v>200</v>
      </c>
      <c r="D67" s="6">
        <v>25</v>
      </c>
      <c r="E67" s="6">
        <v>30</v>
      </c>
      <c r="F67" s="6">
        <v>5</v>
      </c>
      <c r="G67" s="6">
        <v>5</v>
      </c>
      <c r="H67" s="6"/>
      <c r="I67" s="6"/>
      <c r="J67" s="7">
        <f>C67+D67+E67+G67</f>
        <v>260</v>
      </c>
      <c r="K67" s="37" t="s">
        <v>64</v>
      </c>
    </row>
    <row r="68" spans="1:11" ht="15.75" thickBot="1" x14ac:dyDescent="0.3">
      <c r="A68" s="8" t="s">
        <v>29</v>
      </c>
      <c r="B68" s="9" t="s">
        <v>45</v>
      </c>
      <c r="C68" s="9">
        <v>200</v>
      </c>
      <c r="D68" s="9">
        <v>15</v>
      </c>
      <c r="E68" s="9"/>
      <c r="F68" s="9">
        <v>5</v>
      </c>
      <c r="G68" s="9">
        <v>5</v>
      </c>
      <c r="H68" s="9"/>
      <c r="I68" s="9"/>
      <c r="J68" s="10">
        <f>C68+D68+E68+F68+G68</f>
        <v>225</v>
      </c>
    </row>
    <row r="69" spans="1:11" ht="15.75" thickBot="1" x14ac:dyDescent="0.3">
      <c r="A69" s="35" t="s">
        <v>30</v>
      </c>
      <c r="B69" s="32" t="s">
        <v>36</v>
      </c>
      <c r="C69" s="32">
        <v>60</v>
      </c>
      <c r="D69" s="32">
        <v>15</v>
      </c>
      <c r="E69" s="32"/>
      <c r="F69" s="32">
        <v>5</v>
      </c>
      <c r="G69" s="32">
        <v>5</v>
      </c>
      <c r="H69" s="32"/>
      <c r="I69" s="32"/>
      <c r="J69" s="18">
        <f>C69+D69+E69+F69+G69</f>
        <v>85</v>
      </c>
    </row>
    <row r="70" spans="1:11" x14ac:dyDescent="0.25">
      <c r="A70" s="5" t="s">
        <v>72</v>
      </c>
      <c r="B70" s="6" t="s">
        <v>34</v>
      </c>
      <c r="C70" s="6">
        <v>60</v>
      </c>
      <c r="D70" s="6">
        <v>25</v>
      </c>
      <c r="E70" s="6">
        <v>45</v>
      </c>
      <c r="F70" s="6">
        <v>5</v>
      </c>
      <c r="G70" s="6">
        <v>5</v>
      </c>
      <c r="H70" s="6"/>
      <c r="I70" s="6"/>
      <c r="J70" s="7">
        <f t="shared" ref="J70:J76" si="1">C70+D70+E70+G70</f>
        <v>135</v>
      </c>
      <c r="K70" s="37" t="s">
        <v>64</v>
      </c>
    </row>
    <row r="71" spans="1:11" ht="15.75" thickBot="1" x14ac:dyDescent="0.3">
      <c r="A71" s="26" t="s">
        <v>72</v>
      </c>
      <c r="B71" s="27" t="s">
        <v>45</v>
      </c>
      <c r="C71" s="27">
        <v>30</v>
      </c>
      <c r="D71" s="27">
        <v>15</v>
      </c>
      <c r="E71" s="27">
        <v>45</v>
      </c>
      <c r="F71" s="27">
        <v>5</v>
      </c>
      <c r="G71" s="27">
        <v>5</v>
      </c>
      <c r="H71" s="27"/>
      <c r="I71" s="27"/>
      <c r="J71" s="20">
        <f t="shared" si="1"/>
        <v>95</v>
      </c>
      <c r="K71" s="37" t="s">
        <v>64</v>
      </c>
    </row>
    <row r="72" spans="1:11" ht="15.75" thickBot="1" x14ac:dyDescent="0.3">
      <c r="A72" s="35" t="s">
        <v>31</v>
      </c>
      <c r="B72" s="32" t="s">
        <v>36</v>
      </c>
      <c r="C72" s="32">
        <v>15</v>
      </c>
      <c r="D72" s="32">
        <v>15</v>
      </c>
      <c r="E72" s="32">
        <v>30</v>
      </c>
      <c r="F72" s="32">
        <v>5</v>
      </c>
      <c r="G72" s="32">
        <v>5</v>
      </c>
      <c r="H72" s="32"/>
      <c r="I72" s="32"/>
      <c r="J72" s="18">
        <f t="shared" si="1"/>
        <v>65</v>
      </c>
    </row>
    <row r="73" spans="1:11" ht="15.75" thickBot="1" x14ac:dyDescent="0.3">
      <c r="A73" s="36" t="s">
        <v>32</v>
      </c>
      <c r="B73" s="33" t="s">
        <v>34</v>
      </c>
      <c r="C73" s="33">
        <v>60</v>
      </c>
      <c r="D73" s="33">
        <v>25</v>
      </c>
      <c r="E73" s="33">
        <v>60</v>
      </c>
      <c r="F73" s="33">
        <v>5</v>
      </c>
      <c r="G73" s="33">
        <v>5</v>
      </c>
      <c r="H73" s="33"/>
      <c r="I73" s="33"/>
      <c r="J73" s="18">
        <f t="shared" si="1"/>
        <v>150</v>
      </c>
      <c r="K73" t="s">
        <v>73</v>
      </c>
    </row>
    <row r="74" spans="1:11" x14ac:dyDescent="0.25">
      <c r="A74" s="12" t="s">
        <v>74</v>
      </c>
      <c r="B74" s="13" t="s">
        <v>34</v>
      </c>
      <c r="C74" s="13">
        <v>30</v>
      </c>
      <c r="D74" s="13">
        <v>25</v>
      </c>
      <c r="E74" s="13">
        <v>45</v>
      </c>
      <c r="F74" s="13">
        <v>5</v>
      </c>
      <c r="G74" s="13">
        <v>5</v>
      </c>
      <c r="H74" s="13"/>
      <c r="I74" s="13"/>
      <c r="J74" s="7">
        <f t="shared" si="1"/>
        <v>105</v>
      </c>
    </row>
    <row r="75" spans="1:11" x14ac:dyDescent="0.25">
      <c r="A75" s="29" t="s">
        <v>74</v>
      </c>
      <c r="B75" s="4" t="s">
        <v>59</v>
      </c>
      <c r="C75" s="4">
        <v>30</v>
      </c>
      <c r="D75" s="4">
        <v>15</v>
      </c>
      <c r="E75" s="4">
        <v>45</v>
      </c>
      <c r="F75" s="4">
        <v>5</v>
      </c>
      <c r="G75" s="4">
        <v>5</v>
      </c>
      <c r="H75" s="4"/>
      <c r="I75" s="4"/>
      <c r="J75" s="30">
        <f t="shared" si="1"/>
        <v>95</v>
      </c>
    </row>
    <row r="76" spans="1:11" x14ac:dyDescent="0.25">
      <c r="A76" s="29" t="s">
        <v>74</v>
      </c>
      <c r="B76" s="4" t="s">
        <v>55</v>
      </c>
      <c r="C76" s="4">
        <v>30</v>
      </c>
      <c r="D76" s="4">
        <v>15</v>
      </c>
      <c r="E76" s="4">
        <v>30</v>
      </c>
      <c r="F76" s="4">
        <v>5</v>
      </c>
      <c r="G76" s="4">
        <v>5</v>
      </c>
      <c r="H76" s="4"/>
      <c r="I76" s="4"/>
      <c r="J76" s="30">
        <f t="shared" si="1"/>
        <v>80</v>
      </c>
    </row>
    <row r="77" spans="1:11" ht="15.75" thickBot="1" x14ac:dyDescent="0.3">
      <c r="A77" s="16" t="s">
        <v>74</v>
      </c>
      <c r="B77" s="17" t="s">
        <v>35</v>
      </c>
      <c r="C77" s="17">
        <v>30</v>
      </c>
      <c r="D77" s="17">
        <v>15</v>
      </c>
      <c r="E77" s="17"/>
      <c r="F77" s="17">
        <v>5</v>
      </c>
      <c r="G77" s="17">
        <v>5</v>
      </c>
      <c r="H77" s="17"/>
      <c r="I77" s="17"/>
      <c r="J77" s="20">
        <f>C77+D77+E77+F77+G77</f>
        <v>55</v>
      </c>
    </row>
    <row r="78" spans="1:11" x14ac:dyDescent="0.25">
      <c r="A78" s="5" t="s">
        <v>33</v>
      </c>
      <c r="B78" s="6" t="s">
        <v>34</v>
      </c>
      <c r="C78" s="6">
        <v>15</v>
      </c>
      <c r="D78" s="6">
        <v>25</v>
      </c>
      <c r="E78" s="6"/>
      <c r="F78" s="6">
        <v>5</v>
      </c>
      <c r="G78" s="6">
        <v>5</v>
      </c>
      <c r="H78" s="6"/>
      <c r="I78" s="6"/>
      <c r="J78" s="7">
        <f>C78+D78+E78+F78+G78</f>
        <v>50</v>
      </c>
      <c r="K78" t="s">
        <v>41</v>
      </c>
    </row>
    <row r="79" spans="1:11" ht="15.75" thickBot="1" x14ac:dyDescent="0.3">
      <c r="A79" s="8" t="s">
        <v>33</v>
      </c>
      <c r="B79" s="9" t="s">
        <v>42</v>
      </c>
      <c r="C79" s="9">
        <v>15</v>
      </c>
      <c r="D79" s="9">
        <v>15</v>
      </c>
      <c r="E79" s="9"/>
      <c r="F79" s="9">
        <v>5</v>
      </c>
      <c r="G79" s="9">
        <v>5</v>
      </c>
      <c r="H79" s="9"/>
      <c r="I79" s="9"/>
      <c r="J79" s="10">
        <f>C79+D79+E79+F79+G79</f>
        <v>40</v>
      </c>
      <c r="K7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Carbo, Max (Dagbehandeling 4 Beschouwend)</dc:creator>
  <cp:lastModifiedBy>Carbo, Max (Dagbehandeling 4 Beschouwend)</cp:lastModifiedBy>
  <dcterms:created xsi:type="dcterms:W3CDTF">2025-11-10T11:15:00Z</dcterms:created>
  <dcterms:modified xsi:type="dcterms:W3CDTF">2025-11-21T10:31:23Z</dcterms:modified>
</cp:coreProperties>
</file>